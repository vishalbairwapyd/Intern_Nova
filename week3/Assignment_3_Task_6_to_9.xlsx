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defaultThemeVersion="166925"/>
  <xr:revisionPtr revIDLastSave="0" documentId="8_{B29FACA5-3CF3-4960-8940-3823731431E5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Task6" sheetId="1" r:id="rId1"/>
    <sheet name="Task7" sheetId="2" r:id="rId2"/>
    <sheet name="Task8" sheetId="3" r:id="rId3"/>
    <sheet name="Task9" sheetId="4" r:id="rId4"/>
  </sheets>
  <definedNames>
    <definedName name="_xlnm._FilterDatabase" localSheetId="0" hidden="1">Task6!$A$50:$J$70</definedName>
  </definedNames>
  <calcPr calcId="191028"/>
  <pivotCaches>
    <pivotCache cacheId="15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6" i="3" l="1" a="1"/>
  <c r="L16" i="3"/>
  <c r="L17" i="3" a="1"/>
  <c r="L17" i="3"/>
  <c r="L18" i="3" a="1"/>
  <c r="L18" i="3"/>
  <c r="L19" i="3" a="1"/>
  <c r="L19" i="3"/>
  <c r="L20" i="3" a="1"/>
  <c r="L20" i="3"/>
  <c r="B16" i="3"/>
  <c r="D17" i="3"/>
  <c r="D18" i="3"/>
  <c r="D19" i="3"/>
  <c r="D20" i="3"/>
  <c r="C17" i="3"/>
  <c r="C18" i="3"/>
  <c r="C19" i="3"/>
  <c r="C20" i="3"/>
  <c r="C16" i="3"/>
  <c r="D16" i="3"/>
  <c r="B17" i="3"/>
  <c r="B18" i="3"/>
  <c r="B19" i="3"/>
  <c r="B20" i="3"/>
  <c r="M28" i="2"/>
  <c r="L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2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<sst xmlns="http://schemas.openxmlformats.org/spreadsheetml/2006/main" count="794" uniqueCount="90">
  <si>
    <t>Formated Data</t>
  </si>
  <si>
    <t>Employee_ID</t>
  </si>
  <si>
    <t>Employee_Name</t>
  </si>
  <si>
    <t>Department</t>
  </si>
  <si>
    <t>City</t>
  </si>
  <si>
    <t>Gender</t>
  </si>
  <si>
    <t>Age</t>
  </si>
  <si>
    <t>Salary</t>
  </si>
  <si>
    <t>Sales</t>
  </si>
  <si>
    <t>Rating</t>
  </si>
  <si>
    <t>Joining_Date</t>
  </si>
  <si>
    <t>E101</t>
  </si>
  <si>
    <t>Amit Sharma</t>
  </si>
  <si>
    <t>IT</t>
  </si>
  <si>
    <t>Delhi</t>
  </si>
  <si>
    <t>Male</t>
  </si>
  <si>
    <t>E102</t>
  </si>
  <si>
    <t>Priya Singh</t>
  </si>
  <si>
    <t>Gurgaon</t>
  </si>
  <si>
    <t>Female</t>
  </si>
  <si>
    <t>E103</t>
  </si>
  <si>
    <t>Rahul Verma</t>
  </si>
  <si>
    <t>E104</t>
  </si>
  <si>
    <t>Neha Gupta</t>
  </si>
  <si>
    <t>HR</t>
  </si>
  <si>
    <t>E105</t>
  </si>
  <si>
    <t>Rohit Kumar</t>
  </si>
  <si>
    <t>Jaipur</t>
  </si>
  <si>
    <t>E106</t>
  </si>
  <si>
    <t>Sneha Mehta</t>
  </si>
  <si>
    <t>E107</t>
  </si>
  <si>
    <t>Vikas Yadav</t>
  </si>
  <si>
    <t>Finance</t>
  </si>
  <si>
    <t>Mumbai</t>
  </si>
  <si>
    <t>E108</t>
  </si>
  <si>
    <t>Anjali Rao</t>
  </si>
  <si>
    <t>E109</t>
  </si>
  <si>
    <t>Manish Jain</t>
  </si>
  <si>
    <t>E110</t>
  </si>
  <si>
    <t>Pooja Saini</t>
  </si>
  <si>
    <t>Chandigarh</t>
  </si>
  <si>
    <t>E111</t>
  </si>
  <si>
    <t>Suresh Patel</t>
  </si>
  <si>
    <t>E112</t>
  </si>
  <si>
    <t>Kavita Joshi</t>
  </si>
  <si>
    <t>E113</t>
  </si>
  <si>
    <t>Arjun Malhotra</t>
  </si>
  <si>
    <t>Marketing</t>
  </si>
  <si>
    <t>E114</t>
  </si>
  <si>
    <t>Riya Kapoor</t>
  </si>
  <si>
    <t>E115</t>
  </si>
  <si>
    <t>Deepak Sharma</t>
  </si>
  <si>
    <t>E116</t>
  </si>
  <si>
    <t>Nitin Arora</t>
  </si>
  <si>
    <t>Operations</t>
  </si>
  <si>
    <t>Pune</t>
  </si>
  <si>
    <t>E117</t>
  </si>
  <si>
    <t>Simran Kaur</t>
  </si>
  <si>
    <t>E118</t>
  </si>
  <si>
    <t>Gaurav Bansal</t>
  </si>
  <si>
    <t>E119</t>
  </si>
  <si>
    <t>Meena Rani</t>
  </si>
  <si>
    <t>E120</t>
  </si>
  <si>
    <t>Karan Mehta</t>
  </si>
  <si>
    <t>Sorted Data by Sales Column</t>
  </si>
  <si>
    <t>Filter Data Based on Department, Sales, Rating</t>
  </si>
  <si>
    <t>Conditional formating on 'Gender' and 'Rating' column</t>
  </si>
  <si>
    <t>Using Functions</t>
  </si>
  <si>
    <t>IF</t>
  </si>
  <si>
    <t>COUNTIF</t>
  </si>
  <si>
    <t>SUMIF</t>
  </si>
  <si>
    <t>Sales Performance</t>
  </si>
  <si>
    <t>Total Employee in 'IT', Department</t>
  </si>
  <si>
    <t>Sum if Sales greater than '100000'</t>
  </si>
  <si>
    <t>Source Data</t>
  </si>
  <si>
    <t>VLOOKUP</t>
  </si>
  <si>
    <t>XLOOKUP</t>
  </si>
  <si>
    <t>Employee Data</t>
  </si>
  <si>
    <t>Sales Based on city</t>
  </si>
  <si>
    <t>Sum of Sales</t>
  </si>
  <si>
    <t>Grand Total</t>
  </si>
  <si>
    <t>Top 10% employee based on sales</t>
  </si>
  <si>
    <t>Sum of Rating</t>
  </si>
  <si>
    <t>Data Summary</t>
  </si>
  <si>
    <t>Total Sales</t>
  </si>
  <si>
    <t>Average Sales</t>
  </si>
  <si>
    <t>Min Sales</t>
  </si>
  <si>
    <t>Max Sales</t>
  </si>
  <si>
    <t>Min of Rating</t>
  </si>
  <si>
    <t>Max of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</si>
</sst>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F800]dddd\,\ mmmm\ dd\,\ yyyy"/>
    <numFmt numFmtId="166" formatCode="[$-809]dd\ mmmm\ yyyy;@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0"/>
      <name val="Calibri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0" borderId="4" xfId="0" applyBorder="1"/>
    <xf numFmtId="0" fontId="0" fillId="0" borderId="0" xfId="0" applyBorder="1"/>
    <xf numFmtId="1" fontId="0" fillId="0" borderId="0" xfId="0" applyNumberFormat="1" applyBorder="1"/>
    <xf numFmtId="2" fontId="0" fillId="0" borderId="0" xfId="0" applyNumberFormat="1" applyBorder="1"/>
    <xf numFmtId="164" fontId="0" fillId="0" borderId="0" xfId="0" applyNumberFormat="1" applyBorder="1"/>
    <xf numFmtId="165" fontId="0" fillId="0" borderId="5" xfId="0" applyNumberFormat="1" applyBorder="1"/>
    <xf numFmtId="0" fontId="0" fillId="0" borderId="6" xfId="0" applyBorder="1"/>
    <xf numFmtId="0" fontId="0" fillId="0" borderId="7" xfId="0" applyBorder="1"/>
    <xf numFmtId="1" fontId="0" fillId="0" borderId="7" xfId="0" applyNumberFormat="1" applyBorder="1"/>
    <xf numFmtId="2" fontId="0" fillId="0" borderId="7" xfId="0" applyNumberFormat="1" applyBorder="1"/>
    <xf numFmtId="164" fontId="0" fillId="0" borderId="7" xfId="0" applyNumberFormat="1" applyBorder="1"/>
    <xf numFmtId="165" fontId="0" fillId="0" borderId="8" xfId="0" applyNumberFormat="1" applyBorder="1"/>
    <xf numFmtId="0" fontId="1" fillId="2" borderId="1" xfId="0" applyFont="1" applyFill="1" applyBorder="1"/>
    <xf numFmtId="0" fontId="1" fillId="2" borderId="2" xfId="0" applyFont="1" applyFill="1" applyBorder="1"/>
    <xf numFmtId="1" fontId="1" fillId="2" borderId="2" xfId="0" applyNumberFormat="1" applyFont="1" applyFill="1" applyBorder="1"/>
    <xf numFmtId="2" fontId="1" fillId="2" borderId="2" xfId="0" applyNumberFormat="1" applyFont="1" applyFill="1" applyBorder="1"/>
    <xf numFmtId="164" fontId="1" fillId="2" borderId="2" xfId="0" applyNumberFormat="1" applyFont="1" applyFill="1" applyBorder="1"/>
    <xf numFmtId="165" fontId="1" fillId="2" borderId="3" xfId="0" applyNumberFormat="1" applyFont="1" applyFill="1" applyBorder="1"/>
    <xf numFmtId="1" fontId="1" fillId="4" borderId="2" xfId="0" applyNumberFormat="1" applyFont="1" applyFill="1" applyBorder="1"/>
    <xf numFmtId="1" fontId="0" fillId="4" borderId="0" xfId="0" applyNumberFormat="1" applyFill="1" applyBorder="1"/>
    <xf numFmtId="1" fontId="0" fillId="4" borderId="7" xfId="0" applyNumberFormat="1" applyFill="1" applyBorder="1"/>
    <xf numFmtId="0" fontId="0" fillId="0" borderId="0" xfId="0" applyNumberFormat="1"/>
    <xf numFmtId="0" fontId="0" fillId="0" borderId="9" xfId="0" applyBorder="1"/>
    <xf numFmtId="165" fontId="0" fillId="0" borderId="7" xfId="0" applyNumberFormat="1" applyBorder="1"/>
    <xf numFmtId="166" fontId="0" fillId="0" borderId="5" xfId="0" applyNumberFormat="1" applyBorder="1"/>
    <xf numFmtId="166" fontId="0" fillId="0" borderId="8" xfId="0" applyNumberFormat="1" applyBorder="1"/>
    <xf numFmtId="166" fontId="0" fillId="0" borderId="0" xfId="0" applyNumberFormat="1"/>
    <xf numFmtId="165" fontId="1" fillId="2" borderId="2" xfId="0" applyNumberFormat="1" applyFont="1" applyFill="1" applyBorder="1"/>
    <xf numFmtId="165" fontId="0" fillId="0" borderId="0" xfId="0" applyNumberFormat="1" applyBorder="1"/>
    <xf numFmtId="0" fontId="0" fillId="6" borderId="9" xfId="0" applyFill="1" applyBorder="1" applyAlignment="1">
      <alignment horizontal="center" vertical="center"/>
    </xf>
    <xf numFmtId="0" fontId="0" fillId="7" borderId="9" xfId="0" applyFill="1" applyBorder="1"/>
    <xf numFmtId="0" fontId="1" fillId="0" borderId="0" xfId="0" applyFont="1"/>
    <xf numFmtId="0" fontId="0" fillId="0" borderId="0" xfId="0" pivotButton="1"/>
    <xf numFmtId="0" fontId="2" fillId="3" borderId="7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4" fillId="5" borderId="7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[Assignment_3_Task_6_to_9.xlsx]Task9!PivotTable2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Task9!$B$27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Task9!$A$28:$A$34</c:f>
              <c:strCache>
                <c:ptCount val="6"/>
                <c:pt idx="0">
                  <c:v>Chandigarh</c:v>
                </c:pt>
                <c:pt idx="1">
                  <c:v>Delhi</c:v>
                </c:pt>
                <c:pt idx="2">
                  <c:v>Gurgaon</c:v>
                </c:pt>
                <c:pt idx="3">
                  <c:v>Jaipur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Task9!$B$28:$B$34</c:f>
              <c:numCache>
                <c:formatCode>0</c:formatCode>
                <c:ptCount val="6"/>
                <c:pt idx="0">
                  <c:v>230000</c:v>
                </c:pt>
                <c:pt idx="1">
                  <c:v>1034000</c:v>
                </c:pt>
                <c:pt idx="2">
                  <c:v>595000</c:v>
                </c:pt>
                <c:pt idx="3">
                  <c:v>367000</c:v>
                </c:pt>
                <c:pt idx="4">
                  <c:v>380000</c:v>
                </c:pt>
                <c:pt idx="5">
                  <c:v>248000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45-47E9-8655-118EA969A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499848"/>
        <c:axId val="38513160"/>
      </c:barChart>
      <c:catAx>
        <c:axId val="38499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13160"/>
        <c:crosses val="autoZero"/>
        <c:auto val="1"/>
        <c:lblAlgn val="ctr"/>
        <c:lblOffset val="100"/>
        <c:noMultiLvlLbl val="0"/>
      </c:catAx>
      <c:valAx>
        <c:axId val="38513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99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657225</xdr:colOff>
      <xdr:row>25</xdr:row>
      <xdr:rowOff>114300</xdr:rowOff>
    </xdr:from>
    <xdr:to>
      <xdr:col>10</xdr:col>
      <xdr:colOff>390525</xdr:colOff>
      <xdr:row>40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2792F0-C516-4A59-B908-14E4C78FD6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5.687391319443" createdVersion="8" refreshedVersion="8" minRefreshableVersion="3" recordCount="20" xr:uid="{1F766A02-3C38-4EBB-B7F5-0F0EB694DA8F}">
  <cacheSource type="worksheet">
    <worksheetSource ref="A2:J22" sheet="Task9"/>
  </cacheSource>
  <cacheFields count="10">
    <cacheField name="Employee_ID" numFmtId="0">
      <sharedItems/>
    </cacheField>
    <cacheField name="Employee_Name" numFmtId="0">
      <sharedItems count="20">
        <s v="Amit Sharma"/>
        <s v="Priya Singh"/>
        <s v="Rahul Verma"/>
        <s v="Neha Gupta"/>
        <s v="Rohit Kumar"/>
        <s v="Sneha Mehta"/>
        <s v="Vikas Yadav"/>
        <s v="Anjali Rao"/>
        <s v="Manish Jain"/>
        <s v="Pooja Saini"/>
        <s v="Suresh Patel"/>
        <s v="Kavita Joshi"/>
        <s v="Arjun Malhotra"/>
        <s v="Riya Kapoor"/>
        <s v="Deepak Sharma"/>
        <s v="Nitin Arora"/>
        <s v="Simran Kaur"/>
        <s v="Gaurav Bansal"/>
        <s v="Meena Rani"/>
        <s v="Karan Mehta"/>
      </sharedItems>
    </cacheField>
    <cacheField name="Department" numFmtId="0">
      <sharedItems count="6">
        <s v="IT"/>
        <s v="HR"/>
        <s v="Finance"/>
        <s v="Sales"/>
        <s v="Marketing"/>
        <s v="Operations"/>
      </sharedItems>
    </cacheField>
    <cacheField name="City" numFmtId="0">
      <sharedItems count="6">
        <s v="Delhi"/>
        <s v="Gurgaon"/>
        <s v="Jaipur"/>
        <s v="Mumbai"/>
        <s v="Chandigarh"/>
        <s v="Pune"/>
      </sharedItems>
    </cacheField>
    <cacheField name="Gender" numFmtId="0">
      <sharedItems/>
    </cacheField>
    <cacheField name="Age" numFmtId="1">
      <sharedItems containsSemiMixedTypes="0" containsString="0" containsNumber="1" containsInteger="1" minValue="24" maxValue="38"/>
    </cacheField>
    <cacheField name="Salary" numFmtId="2">
      <sharedItems containsSemiMixedTypes="0" containsString="0" containsNumber="1" containsInteger="1" minValue="42000" maxValue="90000"/>
    </cacheField>
    <cacheField name="Sales" numFmtId="1">
      <sharedItems containsSemiMixedTypes="0" containsString="0" containsNumber="1" containsInteger="1" minValue="85000" maxValue="225000" count="20">
        <n v="125000"/>
        <n v="185000"/>
        <n v="210000"/>
        <n v="95000"/>
        <n v="115000"/>
        <n v="108000"/>
        <n v="225000"/>
        <n v="155000"/>
        <n v="175000"/>
        <n v="85000"/>
        <n v="145000"/>
        <n v="132000"/>
        <n v="120000"/>
        <n v="98000"/>
        <n v="165000"/>
        <n v="110000"/>
        <n v="138000"/>
        <n v="190000"/>
        <n v="150000"/>
        <n v="128000"/>
      </sharedItems>
    </cacheField>
    <cacheField name="Rating" numFmtId="164">
      <sharedItems containsSemiMixedTypes="0" containsString="0" containsNumber="1" minValue="3.5" maxValue="4.9000000000000004"/>
    </cacheField>
    <cacheField name="Joining_Date" numFmtId="165">
      <sharedItems containsSemiMixedTypes="0" containsNonDate="0" containsDate="1" containsString="0" minDate="2017-10-11T00:00:00" maxDate="2023-05-23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E101"/>
    <x v="0"/>
    <x v="0"/>
    <x v="0"/>
    <s v="Male"/>
    <n v="25"/>
    <n v="55000"/>
    <x v="0"/>
    <n v="4.2"/>
    <d v="2022-01-15T00:00:00"/>
  </r>
  <r>
    <s v="E102"/>
    <x v="1"/>
    <x v="0"/>
    <x v="1"/>
    <s v="Female"/>
    <n v="28"/>
    <n v="72000"/>
    <x v="1"/>
    <n v="4.7"/>
    <d v="2021-03-20T00:00:00"/>
  </r>
  <r>
    <s v="E103"/>
    <x v="2"/>
    <x v="0"/>
    <x v="0"/>
    <s v="Male"/>
    <n v="30"/>
    <n v="85000"/>
    <x v="2"/>
    <n v="4.8"/>
    <d v="2020-07-10T00:00:00"/>
  </r>
  <r>
    <s v="E104"/>
    <x v="3"/>
    <x v="1"/>
    <x v="1"/>
    <s v="Female"/>
    <n v="26"/>
    <n v="48000"/>
    <x v="3"/>
    <n v="3.8"/>
    <d v="2023-02-12T00:00:00"/>
  </r>
  <r>
    <s v="E105"/>
    <x v="4"/>
    <x v="1"/>
    <x v="2"/>
    <s v="Male"/>
    <n v="32"/>
    <n v="62000"/>
    <x v="4"/>
    <n v="4.0999999999999996"/>
    <d v="2019-11-05T00:00:00"/>
  </r>
  <r>
    <s v="E106"/>
    <x v="5"/>
    <x v="1"/>
    <x v="0"/>
    <s v="Female"/>
    <n v="29"/>
    <n v="58000"/>
    <x v="5"/>
    <n v="4"/>
    <d v="2021-08-18T00:00:00"/>
  </r>
  <r>
    <s v="E107"/>
    <x v="6"/>
    <x v="2"/>
    <x v="3"/>
    <s v="Male"/>
    <n v="35"/>
    <n v="90000"/>
    <x v="6"/>
    <n v="4.9000000000000004"/>
    <d v="2018-06-25T00:00:00"/>
  </r>
  <r>
    <s v="E108"/>
    <x v="7"/>
    <x v="2"/>
    <x v="3"/>
    <s v="Female"/>
    <n v="27"/>
    <n v="68000"/>
    <x v="7"/>
    <n v="4.4000000000000004"/>
    <d v="2022-09-14T00:00:00"/>
  </r>
  <r>
    <s v="E109"/>
    <x v="8"/>
    <x v="2"/>
    <x v="0"/>
    <s v="Male"/>
    <n v="31"/>
    <n v="75000"/>
    <x v="8"/>
    <n v="4.5"/>
    <d v="2020-04-16T00:00:00"/>
  </r>
  <r>
    <s v="E110"/>
    <x v="9"/>
    <x v="3"/>
    <x v="4"/>
    <s v="Female"/>
    <n v="24"/>
    <n v="42000"/>
    <x v="9"/>
    <n v="3.5"/>
    <d v="2023-05-22T00:00:00"/>
  </r>
  <r>
    <s v="E111"/>
    <x v="10"/>
    <x v="3"/>
    <x v="4"/>
    <s v="Male"/>
    <n v="38"/>
    <n v="65000"/>
    <x v="10"/>
    <n v="4.3"/>
    <d v="2017-10-11T00:00:00"/>
  </r>
  <r>
    <s v="E112"/>
    <x v="11"/>
    <x v="3"/>
    <x v="2"/>
    <s v="Female"/>
    <n v="29"/>
    <n v="58000"/>
    <x v="11"/>
    <n v="4.0999999999999996"/>
    <d v="2021-12-01T00:00:00"/>
  </r>
  <r>
    <s v="E113"/>
    <x v="12"/>
    <x v="4"/>
    <x v="2"/>
    <s v="Male"/>
    <n v="27"/>
    <n v="60000"/>
    <x v="12"/>
    <n v="3.9"/>
    <d v="2022-04-19T00:00:00"/>
  </r>
  <r>
    <s v="E114"/>
    <x v="13"/>
    <x v="4"/>
    <x v="0"/>
    <s v="Female"/>
    <n v="25"/>
    <n v="52000"/>
    <x v="13"/>
    <n v="3.7"/>
    <d v="2023-01-10T00:00:00"/>
  </r>
  <r>
    <s v="E115"/>
    <x v="14"/>
    <x v="4"/>
    <x v="1"/>
    <s v="Male"/>
    <n v="34"/>
    <n v="70000"/>
    <x v="14"/>
    <n v="4.5999999999999996"/>
    <d v="2019-08-30T00:00:00"/>
  </r>
  <r>
    <s v="E116"/>
    <x v="15"/>
    <x v="5"/>
    <x v="5"/>
    <s v="Male"/>
    <n v="33"/>
    <n v="58000"/>
    <x v="15"/>
    <n v="4"/>
    <d v="2020-02-15T00:00:00"/>
  </r>
  <r>
    <s v="E117"/>
    <x v="16"/>
    <x v="5"/>
    <x v="5"/>
    <s v="Female"/>
    <n v="28"/>
    <n v="64000"/>
    <x v="16"/>
    <n v="4.2"/>
    <d v="2021-06-20T00:00:00"/>
  </r>
  <r>
    <s v="E118"/>
    <x v="17"/>
    <x v="5"/>
    <x v="0"/>
    <s v="Male"/>
    <n v="36"/>
    <n v="78000"/>
    <x v="17"/>
    <n v="4.7"/>
    <d v="2018-12-05T00:00:00"/>
  </r>
  <r>
    <s v="E119"/>
    <x v="18"/>
    <x v="0"/>
    <x v="1"/>
    <s v="Female"/>
    <n v="27"/>
    <n v="65000"/>
    <x v="18"/>
    <n v="4.3"/>
    <d v="2022-05-12T00:00:00"/>
  </r>
  <r>
    <s v="E120"/>
    <x v="19"/>
    <x v="3"/>
    <x v="0"/>
    <s v="Male"/>
    <n v="30"/>
    <n v="57000"/>
    <x v="19"/>
    <n v="3.9"/>
    <d v="2021-07-18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3FCFB2-B0E4-4302-A6B0-3172525DB8FA}" name="PivotTable2" cacheId="1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7:B34" firstHeaderRow="1" firstDataRow="1" firstDataCol="1"/>
  <pivotFields count="10">
    <pivotField compact="0" outline="0" showAll="0"/>
    <pivotField compact="0" outline="0" showAll="0"/>
    <pivotField compact="0" outline="0" showAll="0">
      <items count="7">
        <item sd="0" x="2"/>
        <item sd="0" x="1"/>
        <item sd="0" x="0"/>
        <item sd="0" x="4"/>
        <item sd="0" x="5"/>
        <item sd="0" x="3"/>
        <item t="default"/>
      </items>
    </pivotField>
    <pivotField axis="axisRow" compact="0" outline="0" showAll="0">
      <items count="7">
        <item x="4"/>
        <item x="0"/>
        <item x="1"/>
        <item x="2"/>
        <item x="3"/>
        <item x="5"/>
        <item t="default"/>
      </items>
    </pivotField>
    <pivotField compact="0" outline="0" showAll="0"/>
    <pivotField compact="0" numFmtId="1" outline="0" showAll="0"/>
    <pivotField compact="0" numFmtId="2" outline="0" showAll="0"/>
    <pivotField dataField="1" compact="0" numFmtId="1" outline="0" showAll="0">
      <items count="21">
        <item x="9"/>
        <item x="3"/>
        <item x="13"/>
        <item x="5"/>
        <item x="15"/>
        <item x="4"/>
        <item x="12"/>
        <item x="0"/>
        <item x="19"/>
        <item x="11"/>
        <item x="16"/>
        <item x="10"/>
        <item x="18"/>
        <item x="7"/>
        <item x="14"/>
        <item x="8"/>
        <item x="1"/>
        <item x="17"/>
        <item x="2"/>
        <item x="6"/>
        <item t="default"/>
      </items>
    </pivotField>
    <pivotField compact="0" numFmtId="164" outline="0" showAll="0"/>
    <pivotField compact="0" numFmtId="165" outline="0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7" baseField="0" baseItem="0" numFmtId="1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3237A3-4B0D-451E-A44A-D7DCB2CAE74E}" name="PivotTable4" cacheId="1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3:G60" firstHeaderRow="0" firstDataRow="1" firstDataCol="1"/>
  <pivotFields count="10">
    <pivotField compact="0" outline="0" showAll="0"/>
    <pivotField compact="0" outline="0" showAll="0"/>
    <pivotField axis="axisRow" compact="0" outline="0" showAll="0">
      <items count="7">
        <item x="2"/>
        <item x="1"/>
        <item x="0"/>
        <item x="4"/>
        <item x="5"/>
        <item x="3"/>
        <item t="default"/>
      </items>
    </pivotField>
    <pivotField compact="0" outline="0" showAll="0"/>
    <pivotField compact="0" outline="0" showAll="0"/>
    <pivotField compact="0" numFmtId="1" outline="0" showAll="0"/>
    <pivotField compact="0" numFmtId="2" outline="0" showAll="0"/>
    <pivotField dataField="1" compact="0" numFmtId="1" outline="0" showAll="0"/>
    <pivotField dataField="1" compact="0" numFmtId="164" outline="0" showAll="0"/>
    <pivotField compact="0" numFmtId="165" outlin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Total Sales" fld="7" baseField="0" baseItem="0" numFmtId="1"/>
    <dataField name="Average Sales" fld="7" subtotal="average" baseField="0" baseItem="0" numFmtId="1"/>
    <dataField name="Min Sales" fld="7" subtotal="min" baseField="0" baseItem="0" numFmtId="1"/>
    <dataField name="Max Sales" fld="7" subtotal="max" baseField="0" baseItem="0" numFmtId="1"/>
    <dataField name="Min of Rating" fld="8" subtotal="min" baseField="0" baseItem="0" numFmtId="164"/>
    <dataField name="Max of Rating" fld="8" subtotal="max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2F5280-EC44-49B6-84F8-DEA7BD592204}" name="PivotTable1" cacheId="1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6:C49" firstHeaderRow="0" firstDataRow="1" firstDataCol="1"/>
  <pivotFields count="10">
    <pivotField compact="0" outline="0" showAll="0"/>
    <pivotField axis="axisRow" compact="0" outline="0" showAll="0" measureFilter="1">
      <items count="21">
        <item x="0"/>
        <item x="7"/>
        <item x="12"/>
        <item x="14"/>
        <item x="17"/>
        <item x="19"/>
        <item x="11"/>
        <item x="8"/>
        <item x="18"/>
        <item x="3"/>
        <item x="15"/>
        <item x="9"/>
        <item x="1"/>
        <item x="2"/>
        <item x="13"/>
        <item x="4"/>
        <item x="16"/>
        <item x="5"/>
        <item x="10"/>
        <item x="6"/>
        <item t="default"/>
      </items>
    </pivotField>
    <pivotField compact="0" outline="0" showAll="0">
      <items count="7">
        <item x="2"/>
        <item x="1"/>
        <item x="0"/>
        <item x="4"/>
        <item x="5"/>
        <item x="3"/>
        <item t="default"/>
      </items>
    </pivotField>
    <pivotField compact="0" outline="0" showAll="0"/>
    <pivotField compact="0" outline="0" showAll="0"/>
    <pivotField compact="0" numFmtId="1" outline="0" showAll="0"/>
    <pivotField compact="0" numFmtId="2" outline="0" showAll="0"/>
    <pivotField dataField="1" compact="0" numFmtId="1" outline="0" showAll="0"/>
    <pivotField dataField="1" compact="0" numFmtId="164" outline="0" showAll="0"/>
    <pivotField compact="0" numFmtId="165" outline="0" showAll="0"/>
  </pivotFields>
  <rowFields count="1">
    <field x="1"/>
  </rowFields>
  <rowItems count="3">
    <i>
      <x v="13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7" baseField="0" baseItem="0" numFmtId="1"/>
    <dataField name="Sum of Rating" fld="8" baseField="0" baseItem="0" numFmtId="164"/>
  </dataFields>
  <pivotTableStyleInfo name="PivotStyleMedium9" showRowHeaders="1" showColHeaders="1" showRowStripes="0" showColStripes="0" showLastColumn="1"/>
  <filters count="1">
    <filter fld="1" type="percent" evalOrder="-1" id="3" iMeasureFld="0">
      <autoFilter ref="A1">
        <filterColumn colId="0">
          <top10 percent="1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70"/>
  <sheetViews>
    <sheetView workbookViewId="0">
      <selection sqref="A1:J22"/>
    </sheetView>
  </sheetViews>
  <sheetFormatPr defaultRowHeight="15"/>
  <cols>
    <col min="1" max="1" width="14.85546875" customWidth="1"/>
    <col min="2" max="2" width="18.85546875" customWidth="1"/>
    <col min="3" max="5" width="14.85546875" customWidth="1"/>
    <col min="6" max="6" width="14.85546875" style="3" customWidth="1"/>
    <col min="7" max="7" width="14.85546875" style="1" customWidth="1"/>
    <col min="8" max="8" width="14.85546875" style="3" customWidth="1"/>
    <col min="9" max="9" width="14.85546875" style="2" customWidth="1"/>
    <col min="10" max="10" width="18.140625" style="4" customWidth="1"/>
    <col min="12" max="12" width="13.28515625" customWidth="1"/>
    <col min="22" max="22" width="20.5703125" customWidth="1"/>
    <col min="35" max="35" width="19.5703125" customWidth="1"/>
  </cols>
  <sheetData>
    <row r="1" spans="1:10" ht="18.7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</row>
    <row r="2" spans="1:10">
      <c r="A2" s="17" t="s">
        <v>1</v>
      </c>
      <c r="B2" s="18" t="s">
        <v>2</v>
      </c>
      <c r="C2" s="18" t="s">
        <v>3</v>
      </c>
      <c r="D2" s="18" t="s">
        <v>4</v>
      </c>
      <c r="E2" s="18" t="s">
        <v>5</v>
      </c>
      <c r="F2" s="19" t="s">
        <v>6</v>
      </c>
      <c r="G2" s="20" t="s">
        <v>7</v>
      </c>
      <c r="H2" s="19" t="s">
        <v>8</v>
      </c>
      <c r="I2" s="21" t="s">
        <v>9</v>
      </c>
      <c r="J2" s="22" t="s">
        <v>10</v>
      </c>
    </row>
    <row r="3" spans="1:10">
      <c r="A3" s="5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7">
        <v>25</v>
      </c>
      <c r="G3" s="8">
        <v>55000</v>
      </c>
      <c r="H3" s="7">
        <v>125000</v>
      </c>
      <c r="I3" s="9">
        <v>4.2</v>
      </c>
      <c r="J3" s="10">
        <v>44576</v>
      </c>
    </row>
    <row r="4" spans="1:10">
      <c r="A4" s="5" t="s">
        <v>16</v>
      </c>
      <c r="B4" s="6" t="s">
        <v>17</v>
      </c>
      <c r="C4" s="6" t="s">
        <v>13</v>
      </c>
      <c r="D4" s="6" t="s">
        <v>18</v>
      </c>
      <c r="E4" s="6" t="s">
        <v>19</v>
      </c>
      <c r="F4" s="7">
        <v>28</v>
      </c>
      <c r="G4" s="8">
        <v>72000</v>
      </c>
      <c r="H4" s="7">
        <v>185000</v>
      </c>
      <c r="I4" s="9">
        <v>4.7</v>
      </c>
      <c r="J4" s="10">
        <v>44275</v>
      </c>
    </row>
    <row r="5" spans="1:10">
      <c r="A5" s="5" t="s">
        <v>20</v>
      </c>
      <c r="B5" s="6" t="s">
        <v>21</v>
      </c>
      <c r="C5" s="6" t="s">
        <v>13</v>
      </c>
      <c r="D5" s="6" t="s">
        <v>14</v>
      </c>
      <c r="E5" s="6" t="s">
        <v>15</v>
      </c>
      <c r="F5" s="7">
        <v>30</v>
      </c>
      <c r="G5" s="8">
        <v>85000</v>
      </c>
      <c r="H5" s="7">
        <v>210000</v>
      </c>
      <c r="I5" s="9">
        <v>4.8</v>
      </c>
      <c r="J5" s="10">
        <v>44022</v>
      </c>
    </row>
    <row r="6" spans="1:10">
      <c r="A6" s="5" t="s">
        <v>22</v>
      </c>
      <c r="B6" s="6" t="s">
        <v>23</v>
      </c>
      <c r="C6" s="6" t="s">
        <v>24</v>
      </c>
      <c r="D6" s="6" t="s">
        <v>18</v>
      </c>
      <c r="E6" s="6" t="s">
        <v>19</v>
      </c>
      <c r="F6" s="7">
        <v>26</v>
      </c>
      <c r="G6" s="8">
        <v>48000</v>
      </c>
      <c r="H6" s="7">
        <v>95000</v>
      </c>
      <c r="I6" s="9">
        <v>3.8</v>
      </c>
      <c r="J6" s="10">
        <v>44969</v>
      </c>
    </row>
    <row r="7" spans="1:10">
      <c r="A7" s="5" t="s">
        <v>25</v>
      </c>
      <c r="B7" s="6" t="s">
        <v>26</v>
      </c>
      <c r="C7" s="6" t="s">
        <v>24</v>
      </c>
      <c r="D7" s="6" t="s">
        <v>27</v>
      </c>
      <c r="E7" s="6" t="s">
        <v>15</v>
      </c>
      <c r="F7" s="7">
        <v>32</v>
      </c>
      <c r="G7" s="8">
        <v>62000</v>
      </c>
      <c r="H7" s="7">
        <v>115000</v>
      </c>
      <c r="I7" s="9">
        <v>4.0999999999999996</v>
      </c>
      <c r="J7" s="10">
        <v>43774</v>
      </c>
    </row>
    <row r="8" spans="1:10">
      <c r="A8" s="5" t="s">
        <v>28</v>
      </c>
      <c r="B8" s="6" t="s">
        <v>29</v>
      </c>
      <c r="C8" s="6" t="s">
        <v>24</v>
      </c>
      <c r="D8" s="6" t="s">
        <v>14</v>
      </c>
      <c r="E8" s="6" t="s">
        <v>19</v>
      </c>
      <c r="F8" s="7">
        <v>29</v>
      </c>
      <c r="G8" s="8">
        <v>58000</v>
      </c>
      <c r="H8" s="7">
        <v>108000</v>
      </c>
      <c r="I8" s="9">
        <v>4</v>
      </c>
      <c r="J8" s="10">
        <v>44426</v>
      </c>
    </row>
    <row r="9" spans="1:10">
      <c r="A9" s="5" t="s">
        <v>30</v>
      </c>
      <c r="B9" s="6" t="s">
        <v>31</v>
      </c>
      <c r="C9" s="6" t="s">
        <v>32</v>
      </c>
      <c r="D9" s="6" t="s">
        <v>33</v>
      </c>
      <c r="E9" s="6" t="s">
        <v>15</v>
      </c>
      <c r="F9" s="7">
        <v>35</v>
      </c>
      <c r="G9" s="8">
        <v>90000</v>
      </c>
      <c r="H9" s="7">
        <v>225000</v>
      </c>
      <c r="I9" s="9">
        <v>4.9000000000000004</v>
      </c>
      <c r="J9" s="10">
        <v>43276</v>
      </c>
    </row>
    <row r="10" spans="1:10">
      <c r="A10" s="5" t="s">
        <v>34</v>
      </c>
      <c r="B10" s="6" t="s">
        <v>35</v>
      </c>
      <c r="C10" s="6" t="s">
        <v>32</v>
      </c>
      <c r="D10" s="6" t="s">
        <v>33</v>
      </c>
      <c r="E10" s="6" t="s">
        <v>19</v>
      </c>
      <c r="F10" s="7">
        <v>27</v>
      </c>
      <c r="G10" s="8">
        <v>68000</v>
      </c>
      <c r="H10" s="7">
        <v>155000</v>
      </c>
      <c r="I10" s="9">
        <v>4.4000000000000004</v>
      </c>
      <c r="J10" s="10">
        <v>44818</v>
      </c>
    </row>
    <row r="11" spans="1:10">
      <c r="A11" s="5" t="s">
        <v>36</v>
      </c>
      <c r="B11" s="6" t="s">
        <v>37</v>
      </c>
      <c r="C11" s="6" t="s">
        <v>32</v>
      </c>
      <c r="D11" s="6" t="s">
        <v>14</v>
      </c>
      <c r="E11" s="6" t="s">
        <v>15</v>
      </c>
      <c r="F11" s="7">
        <v>31</v>
      </c>
      <c r="G11" s="8">
        <v>75000</v>
      </c>
      <c r="H11" s="7">
        <v>175000</v>
      </c>
      <c r="I11" s="9">
        <v>4.5</v>
      </c>
      <c r="J11" s="10">
        <v>43937</v>
      </c>
    </row>
    <row r="12" spans="1:10">
      <c r="A12" s="5" t="s">
        <v>38</v>
      </c>
      <c r="B12" s="6" t="s">
        <v>39</v>
      </c>
      <c r="C12" s="6" t="s">
        <v>8</v>
      </c>
      <c r="D12" s="6" t="s">
        <v>40</v>
      </c>
      <c r="E12" s="6" t="s">
        <v>19</v>
      </c>
      <c r="F12" s="7">
        <v>24</v>
      </c>
      <c r="G12" s="8">
        <v>42000</v>
      </c>
      <c r="H12" s="7">
        <v>85000</v>
      </c>
      <c r="I12" s="9">
        <v>3.5</v>
      </c>
      <c r="J12" s="10">
        <v>45068</v>
      </c>
    </row>
    <row r="13" spans="1:10">
      <c r="A13" s="5" t="s">
        <v>41</v>
      </c>
      <c r="B13" s="6" t="s">
        <v>42</v>
      </c>
      <c r="C13" s="6" t="s">
        <v>8</v>
      </c>
      <c r="D13" s="6" t="s">
        <v>40</v>
      </c>
      <c r="E13" s="6" t="s">
        <v>15</v>
      </c>
      <c r="F13" s="7">
        <v>38</v>
      </c>
      <c r="G13" s="8">
        <v>65000</v>
      </c>
      <c r="H13" s="7">
        <v>145000</v>
      </c>
      <c r="I13" s="9">
        <v>4.3</v>
      </c>
      <c r="J13" s="10">
        <v>43019</v>
      </c>
    </row>
    <row r="14" spans="1:10">
      <c r="A14" s="5" t="s">
        <v>43</v>
      </c>
      <c r="B14" s="6" t="s">
        <v>44</v>
      </c>
      <c r="C14" s="6" t="s">
        <v>8</v>
      </c>
      <c r="D14" s="6" t="s">
        <v>27</v>
      </c>
      <c r="E14" s="6" t="s">
        <v>19</v>
      </c>
      <c r="F14" s="7">
        <v>29</v>
      </c>
      <c r="G14" s="8">
        <v>58000</v>
      </c>
      <c r="H14" s="7">
        <v>132000</v>
      </c>
      <c r="I14" s="9">
        <v>4.0999999999999996</v>
      </c>
      <c r="J14" s="10">
        <v>44531</v>
      </c>
    </row>
    <row r="15" spans="1:10">
      <c r="A15" s="5" t="s">
        <v>45</v>
      </c>
      <c r="B15" s="6" t="s">
        <v>46</v>
      </c>
      <c r="C15" s="6" t="s">
        <v>47</v>
      </c>
      <c r="D15" s="6" t="s">
        <v>27</v>
      </c>
      <c r="E15" s="6" t="s">
        <v>15</v>
      </c>
      <c r="F15" s="7">
        <v>27</v>
      </c>
      <c r="G15" s="8">
        <v>60000</v>
      </c>
      <c r="H15" s="7">
        <v>120000</v>
      </c>
      <c r="I15" s="9">
        <v>3.9</v>
      </c>
      <c r="J15" s="10">
        <v>44670</v>
      </c>
    </row>
    <row r="16" spans="1:10">
      <c r="A16" s="5" t="s">
        <v>48</v>
      </c>
      <c r="B16" s="6" t="s">
        <v>49</v>
      </c>
      <c r="C16" s="6" t="s">
        <v>47</v>
      </c>
      <c r="D16" s="6" t="s">
        <v>14</v>
      </c>
      <c r="E16" s="6" t="s">
        <v>19</v>
      </c>
      <c r="F16" s="7">
        <v>25</v>
      </c>
      <c r="G16" s="8">
        <v>52000</v>
      </c>
      <c r="H16" s="7">
        <v>98000</v>
      </c>
      <c r="I16" s="9">
        <v>3.7</v>
      </c>
      <c r="J16" s="10">
        <v>44936</v>
      </c>
    </row>
    <row r="17" spans="1:10">
      <c r="A17" s="5" t="s">
        <v>50</v>
      </c>
      <c r="B17" s="6" t="s">
        <v>51</v>
      </c>
      <c r="C17" s="6" t="s">
        <v>47</v>
      </c>
      <c r="D17" s="6" t="s">
        <v>18</v>
      </c>
      <c r="E17" s="6" t="s">
        <v>15</v>
      </c>
      <c r="F17" s="7">
        <v>34</v>
      </c>
      <c r="G17" s="8">
        <v>70000</v>
      </c>
      <c r="H17" s="7">
        <v>165000</v>
      </c>
      <c r="I17" s="9">
        <v>4.5999999999999996</v>
      </c>
      <c r="J17" s="10">
        <v>43707</v>
      </c>
    </row>
    <row r="18" spans="1:10">
      <c r="A18" s="5" t="s">
        <v>52</v>
      </c>
      <c r="B18" s="6" t="s">
        <v>53</v>
      </c>
      <c r="C18" s="6" t="s">
        <v>54</v>
      </c>
      <c r="D18" s="6" t="s">
        <v>55</v>
      </c>
      <c r="E18" s="6" t="s">
        <v>15</v>
      </c>
      <c r="F18" s="7">
        <v>33</v>
      </c>
      <c r="G18" s="8">
        <v>58000</v>
      </c>
      <c r="H18" s="7">
        <v>110000</v>
      </c>
      <c r="I18" s="9">
        <v>4</v>
      </c>
      <c r="J18" s="10">
        <v>43876</v>
      </c>
    </row>
    <row r="19" spans="1:10">
      <c r="A19" s="5" t="s">
        <v>56</v>
      </c>
      <c r="B19" s="6" t="s">
        <v>57</v>
      </c>
      <c r="C19" s="6" t="s">
        <v>54</v>
      </c>
      <c r="D19" s="6" t="s">
        <v>55</v>
      </c>
      <c r="E19" s="6" t="s">
        <v>19</v>
      </c>
      <c r="F19" s="7">
        <v>28</v>
      </c>
      <c r="G19" s="8">
        <v>64000</v>
      </c>
      <c r="H19" s="7">
        <v>138000</v>
      </c>
      <c r="I19" s="9">
        <v>4.2</v>
      </c>
      <c r="J19" s="10">
        <v>44367</v>
      </c>
    </row>
    <row r="20" spans="1:10">
      <c r="A20" s="5" t="s">
        <v>58</v>
      </c>
      <c r="B20" s="6" t="s">
        <v>59</v>
      </c>
      <c r="C20" s="6" t="s">
        <v>54</v>
      </c>
      <c r="D20" s="6" t="s">
        <v>14</v>
      </c>
      <c r="E20" s="6" t="s">
        <v>15</v>
      </c>
      <c r="F20" s="7">
        <v>36</v>
      </c>
      <c r="G20" s="8">
        <v>78000</v>
      </c>
      <c r="H20" s="7">
        <v>190000</v>
      </c>
      <c r="I20" s="9">
        <v>4.7</v>
      </c>
      <c r="J20" s="10">
        <v>43439</v>
      </c>
    </row>
    <row r="21" spans="1:10">
      <c r="A21" s="5" t="s">
        <v>60</v>
      </c>
      <c r="B21" s="6" t="s">
        <v>61</v>
      </c>
      <c r="C21" s="6" t="s">
        <v>13</v>
      </c>
      <c r="D21" s="6" t="s">
        <v>18</v>
      </c>
      <c r="E21" s="6" t="s">
        <v>19</v>
      </c>
      <c r="F21" s="7">
        <v>27</v>
      </c>
      <c r="G21" s="8">
        <v>65000</v>
      </c>
      <c r="H21" s="7">
        <v>150000</v>
      </c>
      <c r="I21" s="9">
        <v>4.3</v>
      </c>
      <c r="J21" s="10">
        <v>44693</v>
      </c>
    </row>
    <row r="22" spans="1:10">
      <c r="A22" s="11" t="s">
        <v>62</v>
      </c>
      <c r="B22" s="12" t="s">
        <v>63</v>
      </c>
      <c r="C22" s="12" t="s">
        <v>8</v>
      </c>
      <c r="D22" s="12" t="s">
        <v>14</v>
      </c>
      <c r="E22" s="12" t="s">
        <v>15</v>
      </c>
      <c r="F22" s="13">
        <v>30</v>
      </c>
      <c r="G22" s="14">
        <v>57000</v>
      </c>
      <c r="H22" s="13">
        <v>128000</v>
      </c>
      <c r="I22" s="15">
        <v>3.9</v>
      </c>
      <c r="J22" s="16">
        <v>44395</v>
      </c>
    </row>
    <row r="26" spans="1:10" ht="18.75">
      <c r="A26" s="38" t="s">
        <v>64</v>
      </c>
      <c r="B26" s="39"/>
      <c r="C26" s="39"/>
      <c r="D26" s="39"/>
      <c r="E26" s="39"/>
      <c r="F26" s="39"/>
      <c r="G26" s="39"/>
      <c r="H26" s="39"/>
      <c r="I26" s="39"/>
      <c r="J26" s="39"/>
    </row>
    <row r="27" spans="1:10">
      <c r="A27" s="17" t="s">
        <v>1</v>
      </c>
      <c r="B27" s="18" t="s">
        <v>2</v>
      </c>
      <c r="C27" s="18" t="s">
        <v>3</v>
      </c>
      <c r="D27" s="18" t="s">
        <v>4</v>
      </c>
      <c r="E27" s="18" t="s">
        <v>5</v>
      </c>
      <c r="F27" s="19" t="s">
        <v>6</v>
      </c>
      <c r="G27" s="20" t="s">
        <v>7</v>
      </c>
      <c r="H27" s="23" t="s">
        <v>8</v>
      </c>
      <c r="I27" s="21" t="s">
        <v>9</v>
      </c>
      <c r="J27" s="22" t="s">
        <v>10</v>
      </c>
    </row>
    <row r="28" spans="1:10">
      <c r="A28" s="5" t="s">
        <v>30</v>
      </c>
      <c r="B28" s="6" t="s">
        <v>31</v>
      </c>
      <c r="C28" s="6" t="s">
        <v>32</v>
      </c>
      <c r="D28" s="6" t="s">
        <v>33</v>
      </c>
      <c r="E28" s="6" t="s">
        <v>15</v>
      </c>
      <c r="F28" s="7">
        <v>35</v>
      </c>
      <c r="G28" s="8">
        <v>90000</v>
      </c>
      <c r="H28" s="24">
        <v>225000</v>
      </c>
      <c r="I28" s="9">
        <v>4.9000000000000004</v>
      </c>
      <c r="J28" s="10">
        <v>43276</v>
      </c>
    </row>
    <row r="29" spans="1:10">
      <c r="A29" s="5" t="s">
        <v>20</v>
      </c>
      <c r="B29" s="6" t="s">
        <v>21</v>
      </c>
      <c r="C29" s="6" t="s">
        <v>13</v>
      </c>
      <c r="D29" s="6" t="s">
        <v>14</v>
      </c>
      <c r="E29" s="6" t="s">
        <v>15</v>
      </c>
      <c r="F29" s="7">
        <v>30</v>
      </c>
      <c r="G29" s="8">
        <v>85000</v>
      </c>
      <c r="H29" s="24">
        <v>210000</v>
      </c>
      <c r="I29" s="9">
        <v>4.8</v>
      </c>
      <c r="J29" s="10">
        <v>44022</v>
      </c>
    </row>
    <row r="30" spans="1:10">
      <c r="A30" s="5" t="s">
        <v>58</v>
      </c>
      <c r="B30" s="6" t="s">
        <v>59</v>
      </c>
      <c r="C30" s="6" t="s">
        <v>54</v>
      </c>
      <c r="D30" s="6" t="s">
        <v>14</v>
      </c>
      <c r="E30" s="6" t="s">
        <v>15</v>
      </c>
      <c r="F30" s="7">
        <v>36</v>
      </c>
      <c r="G30" s="8">
        <v>78000</v>
      </c>
      <c r="H30" s="24">
        <v>190000</v>
      </c>
      <c r="I30" s="9">
        <v>4.7</v>
      </c>
      <c r="J30" s="10">
        <v>43439</v>
      </c>
    </row>
    <row r="31" spans="1:10">
      <c r="A31" s="5" t="s">
        <v>36</v>
      </c>
      <c r="B31" s="6" t="s">
        <v>37</v>
      </c>
      <c r="C31" s="6" t="s">
        <v>32</v>
      </c>
      <c r="D31" s="6" t="s">
        <v>14</v>
      </c>
      <c r="E31" s="6" t="s">
        <v>15</v>
      </c>
      <c r="F31" s="7">
        <v>31</v>
      </c>
      <c r="G31" s="8">
        <v>75000</v>
      </c>
      <c r="H31" s="24">
        <v>175000</v>
      </c>
      <c r="I31" s="9">
        <v>4.5</v>
      </c>
      <c r="J31" s="10">
        <v>43937</v>
      </c>
    </row>
    <row r="32" spans="1:10">
      <c r="A32" s="5" t="s">
        <v>16</v>
      </c>
      <c r="B32" s="6" t="s">
        <v>17</v>
      </c>
      <c r="C32" s="6" t="s">
        <v>13</v>
      </c>
      <c r="D32" s="6" t="s">
        <v>18</v>
      </c>
      <c r="E32" s="6" t="s">
        <v>19</v>
      </c>
      <c r="F32" s="7">
        <v>28</v>
      </c>
      <c r="G32" s="8">
        <v>72000</v>
      </c>
      <c r="H32" s="24">
        <v>185000</v>
      </c>
      <c r="I32" s="9">
        <v>4.7</v>
      </c>
      <c r="J32" s="10">
        <v>44275</v>
      </c>
    </row>
    <row r="33" spans="1:10">
      <c r="A33" s="5" t="s">
        <v>50</v>
      </c>
      <c r="B33" s="6" t="s">
        <v>51</v>
      </c>
      <c r="C33" s="6" t="s">
        <v>47</v>
      </c>
      <c r="D33" s="6" t="s">
        <v>18</v>
      </c>
      <c r="E33" s="6" t="s">
        <v>15</v>
      </c>
      <c r="F33" s="7">
        <v>34</v>
      </c>
      <c r="G33" s="8">
        <v>70000</v>
      </c>
      <c r="H33" s="24">
        <v>165000</v>
      </c>
      <c r="I33" s="9">
        <v>4.5999999999999996</v>
      </c>
      <c r="J33" s="10">
        <v>43707</v>
      </c>
    </row>
    <row r="34" spans="1:10">
      <c r="A34" s="5" t="s">
        <v>34</v>
      </c>
      <c r="B34" s="6" t="s">
        <v>35</v>
      </c>
      <c r="C34" s="6" t="s">
        <v>32</v>
      </c>
      <c r="D34" s="6" t="s">
        <v>33</v>
      </c>
      <c r="E34" s="6" t="s">
        <v>19</v>
      </c>
      <c r="F34" s="7">
        <v>27</v>
      </c>
      <c r="G34" s="8">
        <v>68000</v>
      </c>
      <c r="H34" s="24">
        <v>155000</v>
      </c>
      <c r="I34" s="9">
        <v>4.4000000000000004</v>
      </c>
      <c r="J34" s="10">
        <v>44818</v>
      </c>
    </row>
    <row r="35" spans="1:10">
      <c r="A35" s="5" t="s">
        <v>41</v>
      </c>
      <c r="B35" s="6" t="s">
        <v>42</v>
      </c>
      <c r="C35" s="6" t="s">
        <v>8</v>
      </c>
      <c r="D35" s="6" t="s">
        <v>40</v>
      </c>
      <c r="E35" s="6" t="s">
        <v>15</v>
      </c>
      <c r="F35" s="7">
        <v>38</v>
      </c>
      <c r="G35" s="8">
        <v>65000</v>
      </c>
      <c r="H35" s="24">
        <v>145000</v>
      </c>
      <c r="I35" s="9">
        <v>4.3</v>
      </c>
      <c r="J35" s="10">
        <v>43019</v>
      </c>
    </row>
    <row r="36" spans="1:10">
      <c r="A36" s="5" t="s">
        <v>60</v>
      </c>
      <c r="B36" s="6" t="s">
        <v>61</v>
      </c>
      <c r="C36" s="6" t="s">
        <v>13</v>
      </c>
      <c r="D36" s="6" t="s">
        <v>18</v>
      </c>
      <c r="E36" s="6" t="s">
        <v>19</v>
      </c>
      <c r="F36" s="7">
        <v>27</v>
      </c>
      <c r="G36" s="8">
        <v>65000</v>
      </c>
      <c r="H36" s="24">
        <v>150000</v>
      </c>
      <c r="I36" s="9">
        <v>4.3</v>
      </c>
      <c r="J36" s="10">
        <v>44693</v>
      </c>
    </row>
    <row r="37" spans="1:10">
      <c r="A37" s="5" t="s">
        <v>56</v>
      </c>
      <c r="B37" s="6" t="s">
        <v>57</v>
      </c>
      <c r="C37" s="6" t="s">
        <v>54</v>
      </c>
      <c r="D37" s="6" t="s">
        <v>55</v>
      </c>
      <c r="E37" s="6" t="s">
        <v>19</v>
      </c>
      <c r="F37" s="7">
        <v>28</v>
      </c>
      <c r="G37" s="8">
        <v>64000</v>
      </c>
      <c r="H37" s="24">
        <v>138000</v>
      </c>
      <c r="I37" s="9">
        <v>4.2</v>
      </c>
      <c r="J37" s="10">
        <v>44367</v>
      </c>
    </row>
    <row r="38" spans="1:10">
      <c r="A38" s="5" t="s">
        <v>25</v>
      </c>
      <c r="B38" s="6" t="s">
        <v>26</v>
      </c>
      <c r="C38" s="6" t="s">
        <v>24</v>
      </c>
      <c r="D38" s="6" t="s">
        <v>27</v>
      </c>
      <c r="E38" s="6" t="s">
        <v>15</v>
      </c>
      <c r="F38" s="7">
        <v>32</v>
      </c>
      <c r="G38" s="8">
        <v>62000</v>
      </c>
      <c r="H38" s="24">
        <v>115000</v>
      </c>
      <c r="I38" s="9">
        <v>4.0999999999999996</v>
      </c>
      <c r="J38" s="10">
        <v>43774</v>
      </c>
    </row>
    <row r="39" spans="1:10">
      <c r="A39" s="5" t="s">
        <v>45</v>
      </c>
      <c r="B39" s="6" t="s">
        <v>46</v>
      </c>
      <c r="C39" s="6" t="s">
        <v>47</v>
      </c>
      <c r="D39" s="6" t="s">
        <v>27</v>
      </c>
      <c r="E39" s="6" t="s">
        <v>15</v>
      </c>
      <c r="F39" s="7">
        <v>27</v>
      </c>
      <c r="G39" s="8">
        <v>60000</v>
      </c>
      <c r="H39" s="24">
        <v>120000</v>
      </c>
      <c r="I39" s="9">
        <v>3.9</v>
      </c>
      <c r="J39" s="10">
        <v>44670</v>
      </c>
    </row>
    <row r="40" spans="1:10">
      <c r="A40" s="5" t="s">
        <v>28</v>
      </c>
      <c r="B40" s="6" t="s">
        <v>29</v>
      </c>
      <c r="C40" s="6" t="s">
        <v>24</v>
      </c>
      <c r="D40" s="6" t="s">
        <v>14</v>
      </c>
      <c r="E40" s="6" t="s">
        <v>19</v>
      </c>
      <c r="F40" s="7">
        <v>29</v>
      </c>
      <c r="G40" s="8">
        <v>58000</v>
      </c>
      <c r="H40" s="24">
        <v>108000</v>
      </c>
      <c r="I40" s="9">
        <v>4</v>
      </c>
      <c r="J40" s="10">
        <v>44426</v>
      </c>
    </row>
    <row r="41" spans="1:10">
      <c r="A41" s="5" t="s">
        <v>43</v>
      </c>
      <c r="B41" s="6" t="s">
        <v>44</v>
      </c>
      <c r="C41" s="6" t="s">
        <v>8</v>
      </c>
      <c r="D41" s="6" t="s">
        <v>27</v>
      </c>
      <c r="E41" s="6" t="s">
        <v>19</v>
      </c>
      <c r="F41" s="7">
        <v>29</v>
      </c>
      <c r="G41" s="8">
        <v>58000</v>
      </c>
      <c r="H41" s="24">
        <v>132000</v>
      </c>
      <c r="I41" s="9">
        <v>4.0999999999999996</v>
      </c>
      <c r="J41" s="10">
        <v>44531</v>
      </c>
    </row>
    <row r="42" spans="1:10">
      <c r="A42" s="5" t="s">
        <v>52</v>
      </c>
      <c r="B42" s="6" t="s">
        <v>53</v>
      </c>
      <c r="C42" s="6" t="s">
        <v>54</v>
      </c>
      <c r="D42" s="6" t="s">
        <v>55</v>
      </c>
      <c r="E42" s="6" t="s">
        <v>15</v>
      </c>
      <c r="F42" s="7">
        <v>33</v>
      </c>
      <c r="G42" s="8">
        <v>58000</v>
      </c>
      <c r="H42" s="24">
        <v>110000</v>
      </c>
      <c r="I42" s="9">
        <v>4</v>
      </c>
      <c r="J42" s="10">
        <v>43876</v>
      </c>
    </row>
    <row r="43" spans="1:10">
      <c r="A43" s="5" t="s">
        <v>62</v>
      </c>
      <c r="B43" s="6" t="s">
        <v>63</v>
      </c>
      <c r="C43" s="6" t="s">
        <v>8</v>
      </c>
      <c r="D43" s="6" t="s">
        <v>14</v>
      </c>
      <c r="E43" s="6" t="s">
        <v>15</v>
      </c>
      <c r="F43" s="7">
        <v>30</v>
      </c>
      <c r="G43" s="8">
        <v>57000</v>
      </c>
      <c r="H43" s="24">
        <v>128000</v>
      </c>
      <c r="I43" s="9">
        <v>3.9</v>
      </c>
      <c r="J43" s="10">
        <v>44395</v>
      </c>
    </row>
    <row r="44" spans="1:10">
      <c r="A44" s="5" t="s">
        <v>11</v>
      </c>
      <c r="B44" s="6" t="s">
        <v>12</v>
      </c>
      <c r="C44" s="6" t="s">
        <v>13</v>
      </c>
      <c r="D44" s="6" t="s">
        <v>14</v>
      </c>
      <c r="E44" s="6" t="s">
        <v>15</v>
      </c>
      <c r="F44" s="7">
        <v>25</v>
      </c>
      <c r="G44" s="8">
        <v>55000</v>
      </c>
      <c r="H44" s="24">
        <v>125000</v>
      </c>
      <c r="I44" s="9">
        <v>4.2</v>
      </c>
      <c r="J44" s="10">
        <v>44576</v>
      </c>
    </row>
    <row r="45" spans="1:10">
      <c r="A45" s="5" t="s">
        <v>48</v>
      </c>
      <c r="B45" s="6" t="s">
        <v>49</v>
      </c>
      <c r="C45" s="6" t="s">
        <v>47</v>
      </c>
      <c r="D45" s="6" t="s">
        <v>14</v>
      </c>
      <c r="E45" s="6" t="s">
        <v>19</v>
      </c>
      <c r="F45" s="7">
        <v>25</v>
      </c>
      <c r="G45" s="8">
        <v>52000</v>
      </c>
      <c r="H45" s="24">
        <v>98000</v>
      </c>
      <c r="I45" s="9">
        <v>3.7</v>
      </c>
      <c r="J45" s="10">
        <v>44936</v>
      </c>
    </row>
    <row r="46" spans="1:10">
      <c r="A46" s="5" t="s">
        <v>22</v>
      </c>
      <c r="B46" s="6" t="s">
        <v>23</v>
      </c>
      <c r="C46" s="6" t="s">
        <v>24</v>
      </c>
      <c r="D46" s="6" t="s">
        <v>18</v>
      </c>
      <c r="E46" s="6" t="s">
        <v>19</v>
      </c>
      <c r="F46" s="7">
        <v>26</v>
      </c>
      <c r="G46" s="8">
        <v>48000</v>
      </c>
      <c r="H46" s="24">
        <v>95000</v>
      </c>
      <c r="I46" s="9">
        <v>3.8</v>
      </c>
      <c r="J46" s="10">
        <v>44969</v>
      </c>
    </row>
    <row r="47" spans="1:10">
      <c r="A47" s="5" t="s">
        <v>38</v>
      </c>
      <c r="B47" s="6" t="s">
        <v>39</v>
      </c>
      <c r="C47" s="12" t="s">
        <v>8</v>
      </c>
      <c r="D47" s="12" t="s">
        <v>40</v>
      </c>
      <c r="E47" s="12" t="s">
        <v>19</v>
      </c>
      <c r="F47" s="13">
        <v>24</v>
      </c>
      <c r="G47" s="14">
        <v>42000</v>
      </c>
      <c r="H47" s="25">
        <v>85000</v>
      </c>
      <c r="I47" s="15">
        <v>3.5</v>
      </c>
      <c r="J47" s="16">
        <v>45068</v>
      </c>
    </row>
    <row r="48" spans="1:10">
      <c r="A48" s="6"/>
      <c r="B48" s="6"/>
      <c r="C48" s="12"/>
      <c r="D48" s="12"/>
      <c r="E48" s="12"/>
      <c r="F48" s="13"/>
      <c r="G48" s="14"/>
      <c r="H48" s="25"/>
      <c r="I48" s="15"/>
      <c r="J48" s="28"/>
    </row>
    <row r="49" spans="1:13" ht="18.75">
      <c r="A49" s="38" t="s">
        <v>65</v>
      </c>
      <c r="B49" s="38"/>
      <c r="C49" s="38"/>
      <c r="D49" s="38"/>
      <c r="E49" s="38"/>
      <c r="F49" s="38"/>
      <c r="G49" s="38"/>
      <c r="H49" s="38"/>
      <c r="I49" s="38"/>
      <c r="J49" s="38"/>
    </row>
    <row r="50" spans="1:13">
      <c r="A50" s="17" t="s">
        <v>1</v>
      </c>
      <c r="B50" s="18" t="s">
        <v>2</v>
      </c>
      <c r="C50" s="18" t="s">
        <v>3</v>
      </c>
      <c r="D50" s="18" t="s">
        <v>4</v>
      </c>
      <c r="E50" s="18" t="s">
        <v>5</v>
      </c>
      <c r="F50" s="19" t="s">
        <v>6</v>
      </c>
      <c r="G50" s="20" t="s">
        <v>7</v>
      </c>
      <c r="H50" s="19" t="s">
        <v>8</v>
      </c>
      <c r="I50" s="21" t="s">
        <v>9</v>
      </c>
      <c r="J50" s="22" t="s">
        <v>10</v>
      </c>
    </row>
    <row r="51" spans="1:13">
      <c r="A51" s="5" t="s">
        <v>11</v>
      </c>
      <c r="B51" s="6" t="s">
        <v>12</v>
      </c>
      <c r="C51" s="6" t="s">
        <v>13</v>
      </c>
      <c r="D51" s="6" t="s">
        <v>14</v>
      </c>
      <c r="E51" s="6" t="s">
        <v>15</v>
      </c>
      <c r="F51" s="7">
        <v>25</v>
      </c>
      <c r="G51" s="8">
        <v>55000</v>
      </c>
      <c r="H51" s="7">
        <v>125000</v>
      </c>
      <c r="I51" s="9">
        <v>4.2</v>
      </c>
      <c r="J51" s="10">
        <v>44576</v>
      </c>
      <c r="L51" s="26"/>
    </row>
    <row r="52" spans="1:13" hidden="1">
      <c r="A52" s="5" t="s">
        <v>16</v>
      </c>
      <c r="B52" s="6" t="s">
        <v>17</v>
      </c>
      <c r="C52" s="6" t="s">
        <v>13</v>
      </c>
      <c r="D52" s="6" t="s">
        <v>18</v>
      </c>
      <c r="E52" s="6" t="s">
        <v>19</v>
      </c>
      <c r="F52" s="7">
        <v>28</v>
      </c>
      <c r="G52" s="8">
        <v>72000</v>
      </c>
      <c r="H52" s="7">
        <v>185000</v>
      </c>
      <c r="I52" s="9">
        <v>4.7</v>
      </c>
      <c r="J52" s="10">
        <v>44275</v>
      </c>
      <c r="M52" s="26"/>
    </row>
    <row r="53" spans="1:13">
      <c r="A53" s="5" t="s">
        <v>20</v>
      </c>
      <c r="B53" s="6" t="s">
        <v>21</v>
      </c>
      <c r="C53" s="6" t="s">
        <v>13</v>
      </c>
      <c r="D53" s="6" t="s">
        <v>14</v>
      </c>
      <c r="E53" s="6" t="s">
        <v>15</v>
      </c>
      <c r="F53" s="7">
        <v>30</v>
      </c>
      <c r="G53" s="8">
        <v>85000</v>
      </c>
      <c r="H53" s="7">
        <v>210000</v>
      </c>
      <c r="I53" s="9">
        <v>4.8</v>
      </c>
      <c r="J53" s="10">
        <v>44022</v>
      </c>
    </row>
    <row r="54" spans="1:13" hidden="1">
      <c r="A54" s="5" t="s">
        <v>22</v>
      </c>
      <c r="B54" s="6" t="s">
        <v>23</v>
      </c>
      <c r="C54" s="6" t="s">
        <v>24</v>
      </c>
      <c r="D54" s="6" t="s">
        <v>18</v>
      </c>
      <c r="E54" s="6" t="s">
        <v>19</v>
      </c>
      <c r="F54" s="7">
        <v>26</v>
      </c>
      <c r="G54" s="8">
        <v>48000</v>
      </c>
      <c r="H54" s="7">
        <v>95000</v>
      </c>
      <c r="I54" s="9">
        <v>3.8</v>
      </c>
      <c r="J54" s="10">
        <v>44969</v>
      </c>
    </row>
    <row r="55" spans="1:13">
      <c r="A55" s="5" t="s">
        <v>25</v>
      </c>
      <c r="B55" s="6" t="s">
        <v>26</v>
      </c>
      <c r="C55" s="6" t="s">
        <v>24</v>
      </c>
      <c r="D55" s="6" t="s">
        <v>27</v>
      </c>
      <c r="E55" s="6" t="s">
        <v>15</v>
      </c>
      <c r="F55" s="7">
        <v>32</v>
      </c>
      <c r="G55" s="8">
        <v>62000</v>
      </c>
      <c r="H55" s="7">
        <v>115000</v>
      </c>
      <c r="I55" s="9">
        <v>4.0999999999999996</v>
      </c>
      <c r="J55" s="10">
        <v>43774</v>
      </c>
    </row>
    <row r="56" spans="1:13">
      <c r="A56" s="5" t="s">
        <v>28</v>
      </c>
      <c r="B56" s="6" t="s">
        <v>29</v>
      </c>
      <c r="C56" s="6" t="s">
        <v>24</v>
      </c>
      <c r="D56" s="6" t="s">
        <v>14</v>
      </c>
      <c r="E56" s="6" t="s">
        <v>19</v>
      </c>
      <c r="F56" s="7">
        <v>29</v>
      </c>
      <c r="G56" s="8">
        <v>58000</v>
      </c>
      <c r="H56" s="7">
        <v>108000</v>
      </c>
      <c r="I56" s="9">
        <v>4</v>
      </c>
      <c r="J56" s="10">
        <v>44426</v>
      </c>
    </row>
    <row r="57" spans="1:13" hidden="1">
      <c r="A57" s="5" t="s">
        <v>30</v>
      </c>
      <c r="B57" s="6" t="s">
        <v>31</v>
      </c>
      <c r="C57" s="6" t="s">
        <v>32</v>
      </c>
      <c r="D57" s="6" t="s">
        <v>33</v>
      </c>
      <c r="E57" s="6" t="s">
        <v>15</v>
      </c>
      <c r="F57" s="7">
        <v>35</v>
      </c>
      <c r="G57" s="8">
        <v>90000</v>
      </c>
      <c r="H57" s="7">
        <v>225000</v>
      </c>
      <c r="I57" s="9">
        <v>4.9000000000000004</v>
      </c>
      <c r="J57" s="10">
        <v>43276</v>
      </c>
    </row>
    <row r="58" spans="1:13" hidden="1">
      <c r="A58" s="5" t="s">
        <v>34</v>
      </c>
      <c r="B58" s="6" t="s">
        <v>35</v>
      </c>
      <c r="C58" s="6" t="s">
        <v>32</v>
      </c>
      <c r="D58" s="6" t="s">
        <v>33</v>
      </c>
      <c r="E58" s="6" t="s">
        <v>19</v>
      </c>
      <c r="F58" s="7">
        <v>27</v>
      </c>
      <c r="G58" s="8">
        <v>68000</v>
      </c>
      <c r="H58" s="7">
        <v>155000</v>
      </c>
      <c r="I58" s="9">
        <v>4.4000000000000004</v>
      </c>
      <c r="J58" s="10">
        <v>44818</v>
      </c>
    </row>
    <row r="59" spans="1:13" hidden="1">
      <c r="A59" s="5" t="s">
        <v>36</v>
      </c>
      <c r="B59" s="6" t="s">
        <v>37</v>
      </c>
      <c r="C59" s="6" t="s">
        <v>32</v>
      </c>
      <c r="D59" s="6" t="s">
        <v>14</v>
      </c>
      <c r="E59" s="6" t="s">
        <v>15</v>
      </c>
      <c r="F59" s="7">
        <v>31</v>
      </c>
      <c r="G59" s="8">
        <v>75000</v>
      </c>
      <c r="H59" s="7">
        <v>175000</v>
      </c>
      <c r="I59" s="9">
        <v>4.5</v>
      </c>
      <c r="J59" s="10">
        <v>43937</v>
      </c>
    </row>
    <row r="60" spans="1:13" hidden="1">
      <c r="A60" s="5" t="s">
        <v>38</v>
      </c>
      <c r="B60" s="6" t="s">
        <v>39</v>
      </c>
      <c r="C60" s="6" t="s">
        <v>8</v>
      </c>
      <c r="D60" s="6" t="s">
        <v>40</v>
      </c>
      <c r="E60" s="6" t="s">
        <v>19</v>
      </c>
      <c r="F60" s="7">
        <v>24</v>
      </c>
      <c r="G60" s="8">
        <v>42000</v>
      </c>
      <c r="H60" s="7">
        <v>85000</v>
      </c>
      <c r="I60" s="9">
        <v>3.5</v>
      </c>
      <c r="J60" s="10">
        <v>45068</v>
      </c>
    </row>
    <row r="61" spans="1:13" hidden="1">
      <c r="A61" s="5" t="s">
        <v>41</v>
      </c>
      <c r="B61" s="6" t="s">
        <v>42</v>
      </c>
      <c r="C61" s="6" t="s">
        <v>8</v>
      </c>
      <c r="D61" s="6" t="s">
        <v>40</v>
      </c>
      <c r="E61" s="6" t="s">
        <v>15</v>
      </c>
      <c r="F61" s="7">
        <v>38</v>
      </c>
      <c r="G61" s="8">
        <v>65000</v>
      </c>
      <c r="H61" s="7">
        <v>145000</v>
      </c>
      <c r="I61" s="9">
        <v>4.3</v>
      </c>
      <c r="J61" s="10">
        <v>43019</v>
      </c>
    </row>
    <row r="62" spans="1:13" hidden="1">
      <c r="A62" s="5" t="s">
        <v>43</v>
      </c>
      <c r="B62" s="6" t="s">
        <v>44</v>
      </c>
      <c r="C62" s="6" t="s">
        <v>8</v>
      </c>
      <c r="D62" s="6" t="s">
        <v>27</v>
      </c>
      <c r="E62" s="6" t="s">
        <v>19</v>
      </c>
      <c r="F62" s="7">
        <v>29</v>
      </c>
      <c r="G62" s="8">
        <v>58000</v>
      </c>
      <c r="H62" s="7">
        <v>132000</v>
      </c>
      <c r="I62" s="9">
        <v>4.0999999999999996</v>
      </c>
      <c r="J62" s="10">
        <v>44531</v>
      </c>
    </row>
    <row r="63" spans="1:13" hidden="1">
      <c r="A63" s="5" t="s">
        <v>45</v>
      </c>
      <c r="B63" s="6" t="s">
        <v>46</v>
      </c>
      <c r="C63" s="6" t="s">
        <v>47</v>
      </c>
      <c r="D63" s="6" t="s">
        <v>27</v>
      </c>
      <c r="E63" s="6" t="s">
        <v>15</v>
      </c>
      <c r="F63" s="7">
        <v>27</v>
      </c>
      <c r="G63" s="8">
        <v>60000</v>
      </c>
      <c r="H63" s="7">
        <v>120000</v>
      </c>
      <c r="I63" s="9">
        <v>3.9</v>
      </c>
      <c r="J63" s="10">
        <v>44670</v>
      </c>
    </row>
    <row r="64" spans="1:13" hidden="1">
      <c r="A64" s="5" t="s">
        <v>48</v>
      </c>
      <c r="B64" s="6" t="s">
        <v>49</v>
      </c>
      <c r="C64" s="6" t="s">
        <v>47</v>
      </c>
      <c r="D64" s="6" t="s">
        <v>14</v>
      </c>
      <c r="E64" s="6" t="s">
        <v>19</v>
      </c>
      <c r="F64" s="7">
        <v>25</v>
      </c>
      <c r="G64" s="8">
        <v>52000</v>
      </c>
      <c r="H64" s="7">
        <v>98000</v>
      </c>
      <c r="I64" s="9">
        <v>3.7</v>
      </c>
      <c r="J64" s="10">
        <v>44936</v>
      </c>
    </row>
    <row r="65" spans="1:10" hidden="1">
      <c r="A65" s="5" t="s">
        <v>50</v>
      </c>
      <c r="B65" s="6" t="s">
        <v>51</v>
      </c>
      <c r="C65" s="6" t="s">
        <v>47</v>
      </c>
      <c r="D65" s="6" t="s">
        <v>18</v>
      </c>
      <c r="E65" s="6" t="s">
        <v>15</v>
      </c>
      <c r="F65" s="7">
        <v>34</v>
      </c>
      <c r="G65" s="8">
        <v>70000</v>
      </c>
      <c r="H65" s="7">
        <v>165000</v>
      </c>
      <c r="I65" s="9">
        <v>4.5999999999999996</v>
      </c>
      <c r="J65" s="10">
        <v>43707</v>
      </c>
    </row>
    <row r="66" spans="1:10" hidden="1">
      <c r="A66" s="5" t="s">
        <v>52</v>
      </c>
      <c r="B66" s="6" t="s">
        <v>53</v>
      </c>
      <c r="C66" s="6" t="s">
        <v>54</v>
      </c>
      <c r="D66" s="6" t="s">
        <v>55</v>
      </c>
      <c r="E66" s="6" t="s">
        <v>15</v>
      </c>
      <c r="F66" s="7">
        <v>33</v>
      </c>
      <c r="G66" s="8">
        <v>58000</v>
      </c>
      <c r="H66" s="7">
        <v>110000</v>
      </c>
      <c r="I66" s="9">
        <v>4</v>
      </c>
      <c r="J66" s="10">
        <v>43876</v>
      </c>
    </row>
    <row r="67" spans="1:10" hidden="1">
      <c r="A67" s="5" t="s">
        <v>56</v>
      </c>
      <c r="B67" s="6" t="s">
        <v>57</v>
      </c>
      <c r="C67" s="6" t="s">
        <v>54</v>
      </c>
      <c r="D67" s="6" t="s">
        <v>55</v>
      </c>
      <c r="E67" s="6" t="s">
        <v>19</v>
      </c>
      <c r="F67" s="7">
        <v>28</v>
      </c>
      <c r="G67" s="8">
        <v>64000</v>
      </c>
      <c r="H67" s="7">
        <v>138000</v>
      </c>
      <c r="I67" s="9">
        <v>4.2</v>
      </c>
      <c r="J67" s="10">
        <v>44367</v>
      </c>
    </row>
    <row r="68" spans="1:10" hidden="1">
      <c r="A68" s="5" t="s">
        <v>58</v>
      </c>
      <c r="B68" s="6" t="s">
        <v>59</v>
      </c>
      <c r="C68" s="6" t="s">
        <v>54</v>
      </c>
      <c r="D68" s="6" t="s">
        <v>14</v>
      </c>
      <c r="E68" s="6" t="s">
        <v>15</v>
      </c>
      <c r="F68" s="7">
        <v>36</v>
      </c>
      <c r="G68" s="8">
        <v>78000</v>
      </c>
      <c r="H68" s="7">
        <v>190000</v>
      </c>
      <c r="I68" s="9">
        <v>4.7</v>
      </c>
      <c r="J68" s="10">
        <v>43439</v>
      </c>
    </row>
    <row r="69" spans="1:10" hidden="1">
      <c r="A69" s="5" t="s">
        <v>60</v>
      </c>
      <c r="B69" s="6" t="s">
        <v>61</v>
      </c>
      <c r="C69" s="6" t="s">
        <v>13</v>
      </c>
      <c r="D69" s="6" t="s">
        <v>18</v>
      </c>
      <c r="E69" s="6" t="s">
        <v>19</v>
      </c>
      <c r="F69" s="7">
        <v>27</v>
      </c>
      <c r="G69" s="8">
        <v>65000</v>
      </c>
      <c r="H69" s="7">
        <v>150000</v>
      </c>
      <c r="I69" s="9">
        <v>4.3</v>
      </c>
      <c r="J69" s="10">
        <v>44693</v>
      </c>
    </row>
    <row r="70" spans="1:10" hidden="1">
      <c r="A70" s="11" t="s">
        <v>62</v>
      </c>
      <c r="B70" s="12" t="s">
        <v>63</v>
      </c>
      <c r="C70" s="12" t="s">
        <v>8</v>
      </c>
      <c r="D70" s="12" t="s">
        <v>14</v>
      </c>
      <c r="E70" s="12" t="s">
        <v>15</v>
      </c>
      <c r="F70" s="13">
        <v>30</v>
      </c>
      <c r="G70" s="14">
        <v>57000</v>
      </c>
      <c r="H70" s="13">
        <v>128000</v>
      </c>
      <c r="I70" s="15">
        <v>3.9</v>
      </c>
      <c r="J70" s="16">
        <v>44395</v>
      </c>
    </row>
  </sheetData>
  <autoFilter ref="A50:J70" xr:uid="{00000000-0001-0000-0000-000000000000}">
    <filterColumn colId="2">
      <filters>
        <filter val="HR"/>
        <filter val="IT"/>
      </filters>
    </filterColumn>
    <filterColumn colId="3">
      <filters>
        <filter val="Delhi"/>
        <filter val="Jaipur"/>
      </filters>
    </filterColumn>
  </autoFilter>
  <sortState xmlns:xlrd2="http://schemas.microsoft.com/office/spreadsheetml/2017/richdata2" ref="A28:J47">
    <sortCondition descending="1" ref="G28:G47"/>
  </sortState>
  <mergeCells count="3">
    <mergeCell ref="A1:J1"/>
    <mergeCell ref="A26:J26"/>
    <mergeCell ref="A49:J49"/>
  </mergeCells>
  <dataValidations count="2">
    <dataValidation type="list" allowBlank="1" showInputMessage="1" showErrorMessage="1" sqref="M52" xr:uid="{96C81493-E8B4-4C75-B04E-5D522E1256C0}">
      <formula1>$C$3:$C$22</formula1>
    </dataValidation>
    <dataValidation type="list" allowBlank="1" showInputMessage="1" showErrorMessage="1" sqref="M53" xr:uid="{14238AA2-8081-432B-B60A-FF84EAED3D99}">
      <formula1>$D$2:$D$22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B23EE-F855-4974-BFEF-02D0D7EAEC7D}">
  <dimension ref="A1:O47"/>
  <sheetViews>
    <sheetView workbookViewId="0">
      <selection sqref="A1:J2"/>
    </sheetView>
  </sheetViews>
  <sheetFormatPr defaultRowHeight="15"/>
  <cols>
    <col min="1" max="1" width="12.85546875" bestFit="1" customWidth="1"/>
    <col min="2" max="2" width="16.42578125" bestFit="1" customWidth="1"/>
    <col min="3" max="3" width="12" bestFit="1" customWidth="1"/>
    <col min="4" max="4" width="11.140625" bestFit="1" customWidth="1"/>
    <col min="5" max="5" width="7.7109375" bestFit="1" customWidth="1"/>
    <col min="6" max="6" width="4.5703125" bestFit="1" customWidth="1"/>
    <col min="7" max="7" width="9.28515625" bestFit="1" customWidth="1"/>
    <col min="8" max="8" width="7.7109375" bestFit="1" customWidth="1"/>
    <col min="9" max="9" width="10.28515625" customWidth="1"/>
    <col min="10" max="10" width="19.140625" customWidth="1"/>
    <col min="11" max="11" width="20.85546875" customWidth="1"/>
    <col min="12" max="12" width="29.42578125" customWidth="1"/>
    <col min="13" max="13" width="34.42578125" customWidth="1"/>
  </cols>
  <sheetData>
    <row r="1" spans="1:15" ht="15.75">
      <c r="A1" s="42" t="s">
        <v>66</v>
      </c>
      <c r="B1" s="42"/>
      <c r="C1" s="42"/>
      <c r="D1" s="42"/>
      <c r="E1" s="42"/>
      <c r="F1" s="42"/>
      <c r="G1" s="42"/>
      <c r="H1" s="42"/>
      <c r="I1" s="42"/>
      <c r="J1" s="42"/>
    </row>
    <row r="2" spans="1:15">
      <c r="A2" s="17" t="s">
        <v>1</v>
      </c>
      <c r="B2" s="18" t="s">
        <v>2</v>
      </c>
      <c r="C2" s="18" t="s">
        <v>3</v>
      </c>
      <c r="D2" s="18" t="s">
        <v>4</v>
      </c>
      <c r="E2" s="18" t="s">
        <v>5</v>
      </c>
      <c r="F2" s="19" t="s">
        <v>6</v>
      </c>
      <c r="G2" s="20" t="s">
        <v>7</v>
      </c>
      <c r="H2" s="19" t="s">
        <v>8</v>
      </c>
      <c r="I2" s="21" t="s">
        <v>9</v>
      </c>
      <c r="J2" s="22" t="s">
        <v>10</v>
      </c>
    </row>
    <row r="3" spans="1:15">
      <c r="A3" s="5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7">
        <v>25</v>
      </c>
      <c r="G3" s="8">
        <v>55000</v>
      </c>
      <c r="H3" s="7">
        <v>125000</v>
      </c>
      <c r="I3" s="9">
        <v>4.2</v>
      </c>
      <c r="J3" s="29">
        <v>44576</v>
      </c>
    </row>
    <row r="4" spans="1:15">
      <c r="A4" s="5" t="s">
        <v>16</v>
      </c>
      <c r="B4" s="6" t="s">
        <v>17</v>
      </c>
      <c r="C4" s="6" t="s">
        <v>13</v>
      </c>
      <c r="D4" s="6" t="s">
        <v>18</v>
      </c>
      <c r="E4" s="6" t="s">
        <v>19</v>
      </c>
      <c r="F4" s="7">
        <v>28</v>
      </c>
      <c r="G4" s="8">
        <v>72000</v>
      </c>
      <c r="H4" s="7">
        <v>185000</v>
      </c>
      <c r="I4" s="9">
        <v>4.7</v>
      </c>
      <c r="J4" s="29">
        <v>44275</v>
      </c>
    </row>
    <row r="5" spans="1:15">
      <c r="A5" s="5" t="s">
        <v>20</v>
      </c>
      <c r="B5" s="6" t="s">
        <v>21</v>
      </c>
      <c r="C5" s="6" t="s">
        <v>13</v>
      </c>
      <c r="D5" s="6" t="s">
        <v>14</v>
      </c>
      <c r="E5" s="6" t="s">
        <v>15</v>
      </c>
      <c r="F5" s="7">
        <v>30</v>
      </c>
      <c r="G5" s="8">
        <v>85000</v>
      </c>
      <c r="H5" s="7">
        <v>210000</v>
      </c>
      <c r="I5" s="9">
        <v>4.8</v>
      </c>
      <c r="J5" s="29">
        <v>44022</v>
      </c>
    </row>
    <row r="6" spans="1:15">
      <c r="A6" s="5" t="s">
        <v>22</v>
      </c>
      <c r="B6" s="6" t="s">
        <v>23</v>
      </c>
      <c r="C6" s="6" t="s">
        <v>24</v>
      </c>
      <c r="D6" s="6" t="s">
        <v>18</v>
      </c>
      <c r="E6" s="6" t="s">
        <v>19</v>
      </c>
      <c r="F6" s="7">
        <v>26</v>
      </c>
      <c r="G6" s="8">
        <v>48000</v>
      </c>
      <c r="H6" s="7">
        <v>95000</v>
      </c>
      <c r="I6" s="9">
        <v>3.8</v>
      </c>
      <c r="J6" s="29">
        <v>44969</v>
      </c>
    </row>
    <row r="7" spans="1:15">
      <c r="A7" s="5" t="s">
        <v>25</v>
      </c>
      <c r="B7" s="6" t="s">
        <v>26</v>
      </c>
      <c r="C7" s="6" t="s">
        <v>24</v>
      </c>
      <c r="D7" s="6" t="s">
        <v>27</v>
      </c>
      <c r="E7" s="6" t="s">
        <v>15</v>
      </c>
      <c r="F7" s="7">
        <v>32</v>
      </c>
      <c r="G7" s="8">
        <v>62000</v>
      </c>
      <c r="H7" s="7">
        <v>115000</v>
      </c>
      <c r="I7" s="9">
        <v>4.0999999999999996</v>
      </c>
      <c r="J7" s="29">
        <v>43774</v>
      </c>
    </row>
    <row r="8" spans="1:15">
      <c r="A8" s="5" t="s">
        <v>28</v>
      </c>
      <c r="B8" s="6" t="s">
        <v>29</v>
      </c>
      <c r="C8" s="6" t="s">
        <v>24</v>
      </c>
      <c r="D8" s="6" t="s">
        <v>14</v>
      </c>
      <c r="E8" s="6" t="s">
        <v>19</v>
      </c>
      <c r="F8" s="7">
        <v>29</v>
      </c>
      <c r="G8" s="8">
        <v>58000</v>
      </c>
      <c r="H8" s="7">
        <v>108000</v>
      </c>
      <c r="I8" s="9">
        <v>4</v>
      </c>
      <c r="J8" s="29">
        <v>44426</v>
      </c>
    </row>
    <row r="9" spans="1:15">
      <c r="A9" s="5" t="s">
        <v>30</v>
      </c>
      <c r="B9" s="6" t="s">
        <v>31</v>
      </c>
      <c r="C9" s="6" t="s">
        <v>32</v>
      </c>
      <c r="D9" s="6" t="s">
        <v>33</v>
      </c>
      <c r="E9" s="6" t="s">
        <v>15</v>
      </c>
      <c r="F9" s="7">
        <v>35</v>
      </c>
      <c r="G9" s="8">
        <v>90000</v>
      </c>
      <c r="H9" s="7">
        <v>225000</v>
      </c>
      <c r="I9" s="9">
        <v>4.9000000000000004</v>
      </c>
      <c r="J9" s="29">
        <v>43276</v>
      </c>
    </row>
    <row r="10" spans="1:15">
      <c r="A10" s="5" t="s">
        <v>34</v>
      </c>
      <c r="B10" s="6" t="s">
        <v>35</v>
      </c>
      <c r="C10" s="6" t="s">
        <v>32</v>
      </c>
      <c r="D10" s="6" t="s">
        <v>33</v>
      </c>
      <c r="E10" s="6" t="s">
        <v>19</v>
      </c>
      <c r="F10" s="7">
        <v>27</v>
      </c>
      <c r="G10" s="8">
        <v>68000</v>
      </c>
      <c r="H10" s="7">
        <v>155000</v>
      </c>
      <c r="I10" s="9">
        <v>4.4000000000000004</v>
      </c>
      <c r="J10" s="29">
        <v>44818</v>
      </c>
    </row>
    <row r="11" spans="1:15">
      <c r="A11" s="5" t="s">
        <v>36</v>
      </c>
      <c r="B11" s="6" t="s">
        <v>37</v>
      </c>
      <c r="C11" s="6" t="s">
        <v>32</v>
      </c>
      <c r="D11" s="6" t="s">
        <v>14</v>
      </c>
      <c r="E11" s="6" t="s">
        <v>15</v>
      </c>
      <c r="F11" s="7">
        <v>31</v>
      </c>
      <c r="G11" s="8">
        <v>75000</v>
      </c>
      <c r="H11" s="7">
        <v>175000</v>
      </c>
      <c r="I11" s="9">
        <v>4.5</v>
      </c>
      <c r="J11" s="29">
        <v>43937</v>
      </c>
    </row>
    <row r="12" spans="1:15">
      <c r="A12" s="5" t="s">
        <v>38</v>
      </c>
      <c r="B12" s="6" t="s">
        <v>39</v>
      </c>
      <c r="C12" s="6" t="s">
        <v>8</v>
      </c>
      <c r="D12" s="6" t="s">
        <v>40</v>
      </c>
      <c r="E12" s="6" t="s">
        <v>19</v>
      </c>
      <c r="F12" s="7">
        <v>24</v>
      </c>
      <c r="G12" s="8">
        <v>42000</v>
      </c>
      <c r="H12" s="7">
        <v>85000</v>
      </c>
      <c r="I12" s="9">
        <v>3.5</v>
      </c>
      <c r="J12" s="29">
        <v>45068</v>
      </c>
    </row>
    <row r="13" spans="1:15">
      <c r="A13" s="5" t="s">
        <v>41</v>
      </c>
      <c r="B13" s="6" t="s">
        <v>42</v>
      </c>
      <c r="C13" s="6" t="s">
        <v>8</v>
      </c>
      <c r="D13" s="6" t="s">
        <v>40</v>
      </c>
      <c r="E13" s="6" t="s">
        <v>15</v>
      </c>
      <c r="F13" s="7">
        <v>38</v>
      </c>
      <c r="G13" s="8">
        <v>65000</v>
      </c>
      <c r="H13" s="7">
        <v>145000</v>
      </c>
      <c r="I13" s="9">
        <v>4.3</v>
      </c>
      <c r="J13" s="29">
        <v>43019</v>
      </c>
    </row>
    <row r="14" spans="1:15">
      <c r="A14" s="5" t="s">
        <v>43</v>
      </c>
      <c r="B14" s="6" t="s">
        <v>44</v>
      </c>
      <c r="C14" s="6" t="s">
        <v>8</v>
      </c>
      <c r="D14" s="6" t="s">
        <v>27</v>
      </c>
      <c r="E14" s="6" t="s">
        <v>19</v>
      </c>
      <c r="F14" s="7">
        <v>29</v>
      </c>
      <c r="G14" s="8">
        <v>58000</v>
      </c>
      <c r="H14" s="7">
        <v>132000</v>
      </c>
      <c r="I14" s="9">
        <v>4.0999999999999996</v>
      </c>
      <c r="J14" s="29">
        <v>44531</v>
      </c>
    </row>
    <row r="15" spans="1:15">
      <c r="A15" s="5" t="s">
        <v>45</v>
      </c>
      <c r="B15" s="6" t="s">
        <v>46</v>
      </c>
      <c r="C15" s="6" t="s">
        <v>47</v>
      </c>
      <c r="D15" s="6" t="s">
        <v>27</v>
      </c>
      <c r="E15" s="6" t="s">
        <v>15</v>
      </c>
      <c r="F15" s="7">
        <v>27</v>
      </c>
      <c r="G15" s="8">
        <v>60000</v>
      </c>
      <c r="H15" s="7">
        <v>120000</v>
      </c>
      <c r="I15" s="9">
        <v>3.9</v>
      </c>
      <c r="J15" s="29">
        <v>44670</v>
      </c>
    </row>
    <row r="16" spans="1:15">
      <c r="A16" s="5" t="s">
        <v>48</v>
      </c>
      <c r="B16" s="6" t="s">
        <v>49</v>
      </c>
      <c r="C16" s="6" t="s">
        <v>47</v>
      </c>
      <c r="D16" s="6" t="s">
        <v>14</v>
      </c>
      <c r="E16" s="6" t="s">
        <v>19</v>
      </c>
      <c r="F16" s="7">
        <v>25</v>
      </c>
      <c r="G16" s="8">
        <v>52000</v>
      </c>
      <c r="H16" s="7">
        <v>98000</v>
      </c>
      <c r="I16" s="9">
        <v>3.7</v>
      </c>
      <c r="J16" s="29">
        <v>44936</v>
      </c>
      <c r="O16" s="31"/>
    </row>
    <row r="17" spans="1:13">
      <c r="A17" s="5" t="s">
        <v>50</v>
      </c>
      <c r="B17" s="6" t="s">
        <v>51</v>
      </c>
      <c r="C17" s="6" t="s">
        <v>47</v>
      </c>
      <c r="D17" s="6" t="s">
        <v>18</v>
      </c>
      <c r="E17" s="6" t="s">
        <v>15</v>
      </c>
      <c r="F17" s="7">
        <v>34</v>
      </c>
      <c r="G17" s="8">
        <v>70000</v>
      </c>
      <c r="H17" s="7">
        <v>165000</v>
      </c>
      <c r="I17" s="9">
        <v>4.5999999999999996</v>
      </c>
      <c r="J17" s="29">
        <v>43707</v>
      </c>
    </row>
    <row r="18" spans="1:13">
      <c r="A18" s="5" t="s">
        <v>52</v>
      </c>
      <c r="B18" s="6" t="s">
        <v>53</v>
      </c>
      <c r="C18" s="6" t="s">
        <v>54</v>
      </c>
      <c r="D18" s="6" t="s">
        <v>55</v>
      </c>
      <c r="E18" s="6" t="s">
        <v>15</v>
      </c>
      <c r="F18" s="7">
        <v>33</v>
      </c>
      <c r="G18" s="8">
        <v>58000</v>
      </c>
      <c r="H18" s="7">
        <v>110000</v>
      </c>
      <c r="I18" s="9">
        <v>4</v>
      </c>
      <c r="J18" s="29">
        <v>43876</v>
      </c>
    </row>
    <row r="19" spans="1:13">
      <c r="A19" s="5" t="s">
        <v>56</v>
      </c>
      <c r="B19" s="6" t="s">
        <v>57</v>
      </c>
      <c r="C19" s="6" t="s">
        <v>54</v>
      </c>
      <c r="D19" s="6" t="s">
        <v>55</v>
      </c>
      <c r="E19" s="6" t="s">
        <v>19</v>
      </c>
      <c r="F19" s="7">
        <v>28</v>
      </c>
      <c r="G19" s="8">
        <v>64000</v>
      </c>
      <c r="H19" s="7">
        <v>138000</v>
      </c>
      <c r="I19" s="9">
        <v>4.2</v>
      </c>
      <c r="J19" s="29">
        <v>44367</v>
      </c>
    </row>
    <row r="20" spans="1:13">
      <c r="A20" s="5" t="s">
        <v>58</v>
      </c>
      <c r="B20" s="6" t="s">
        <v>59</v>
      </c>
      <c r="C20" s="6" t="s">
        <v>54</v>
      </c>
      <c r="D20" s="6" t="s">
        <v>14</v>
      </c>
      <c r="E20" s="6" t="s">
        <v>15</v>
      </c>
      <c r="F20" s="7">
        <v>36</v>
      </c>
      <c r="G20" s="8">
        <v>78000</v>
      </c>
      <c r="H20" s="7">
        <v>190000</v>
      </c>
      <c r="I20" s="9">
        <v>4.7</v>
      </c>
      <c r="J20" s="29">
        <v>43439</v>
      </c>
    </row>
    <row r="21" spans="1:13">
      <c r="A21" s="5" t="s">
        <v>60</v>
      </c>
      <c r="B21" s="6" t="s">
        <v>61</v>
      </c>
      <c r="C21" s="6" t="s">
        <v>13</v>
      </c>
      <c r="D21" s="6" t="s">
        <v>18</v>
      </c>
      <c r="E21" s="6" t="s">
        <v>19</v>
      </c>
      <c r="F21" s="7">
        <v>27</v>
      </c>
      <c r="G21" s="8">
        <v>65000</v>
      </c>
      <c r="H21" s="7">
        <v>150000</v>
      </c>
      <c r="I21" s="9">
        <v>4.3</v>
      </c>
      <c r="J21" s="29">
        <v>44693</v>
      </c>
    </row>
    <row r="22" spans="1:13">
      <c r="A22" s="11" t="s">
        <v>62</v>
      </c>
      <c r="B22" s="12" t="s">
        <v>63</v>
      </c>
      <c r="C22" s="12" t="s">
        <v>8</v>
      </c>
      <c r="D22" s="12" t="s">
        <v>14</v>
      </c>
      <c r="E22" s="12" t="s">
        <v>15</v>
      </c>
      <c r="F22" s="13">
        <v>30</v>
      </c>
      <c r="G22" s="14">
        <v>57000</v>
      </c>
      <c r="H22" s="13">
        <v>128000</v>
      </c>
      <c r="I22" s="15">
        <v>3.9</v>
      </c>
      <c r="J22" s="30">
        <v>44395</v>
      </c>
    </row>
    <row r="26" spans="1:13" ht="18.75">
      <c r="A26" s="38" t="s">
        <v>67</v>
      </c>
      <c r="B26" s="39"/>
      <c r="C26" s="39"/>
      <c r="D26" s="39"/>
      <c r="E26" s="39"/>
      <c r="F26" s="39"/>
      <c r="G26" s="39"/>
      <c r="H26" s="39"/>
      <c r="I26" s="39"/>
      <c r="J26" s="39"/>
      <c r="K26" s="34" t="s">
        <v>68</v>
      </c>
      <c r="L26" s="34" t="s">
        <v>69</v>
      </c>
      <c r="M26" s="34" t="s">
        <v>70</v>
      </c>
    </row>
    <row r="27" spans="1:13">
      <c r="A27" s="17" t="s">
        <v>1</v>
      </c>
      <c r="B27" s="18" t="s">
        <v>2</v>
      </c>
      <c r="C27" s="18" t="s">
        <v>3</v>
      </c>
      <c r="D27" s="18" t="s">
        <v>4</v>
      </c>
      <c r="E27" s="18" t="s">
        <v>5</v>
      </c>
      <c r="F27" s="19" t="s">
        <v>6</v>
      </c>
      <c r="G27" s="20" t="s">
        <v>7</v>
      </c>
      <c r="H27" s="19" t="s">
        <v>8</v>
      </c>
      <c r="I27" s="21" t="s">
        <v>9</v>
      </c>
      <c r="J27" s="32" t="s">
        <v>10</v>
      </c>
      <c r="K27" s="35" t="s">
        <v>71</v>
      </c>
      <c r="L27" s="35" t="s">
        <v>72</v>
      </c>
      <c r="M27" s="35" t="s">
        <v>73</v>
      </c>
    </row>
    <row r="28" spans="1:13">
      <c r="A28" s="5" t="s">
        <v>11</v>
      </c>
      <c r="B28" s="6" t="s">
        <v>12</v>
      </c>
      <c r="C28" s="6" t="s">
        <v>13</v>
      </c>
      <c r="D28" s="6" t="s">
        <v>14</v>
      </c>
      <c r="E28" s="6" t="s">
        <v>15</v>
      </c>
      <c r="F28" s="7">
        <v>25</v>
      </c>
      <c r="G28" s="8">
        <v>55000</v>
      </c>
      <c r="H28" s="7">
        <v>125000</v>
      </c>
      <c r="I28" s="9">
        <v>4.2</v>
      </c>
      <c r="J28" s="33">
        <v>44576</v>
      </c>
      <c r="K28" s="27" t="str">
        <f>IF(H28&gt;AVERAGE(H28:H47), "High", "Low")</f>
        <v>Low</v>
      </c>
      <c r="L28" s="27">
        <f>COUNTIF(C28:C47,"Finance")</f>
        <v>3</v>
      </c>
      <c r="M28" s="27">
        <f>SUMIF(H28:H47,"&gt;100000")</f>
        <v>2576000</v>
      </c>
    </row>
    <row r="29" spans="1:13">
      <c r="A29" s="5" t="s">
        <v>16</v>
      </c>
      <c r="B29" s="6" t="s">
        <v>17</v>
      </c>
      <c r="C29" s="6" t="s">
        <v>13</v>
      </c>
      <c r="D29" s="6" t="s">
        <v>18</v>
      </c>
      <c r="E29" s="6" t="s">
        <v>19</v>
      </c>
      <c r="F29" s="7">
        <v>28</v>
      </c>
      <c r="G29" s="8">
        <v>72000</v>
      </c>
      <c r="H29" s="7">
        <v>185000</v>
      </c>
      <c r="I29" s="9">
        <v>4.7</v>
      </c>
      <c r="J29" s="10">
        <v>44275</v>
      </c>
      <c r="K29" t="str">
        <f t="shared" ref="K29:K47" si="0">IF(H29&gt;AVERAGE(H29:H48), "High", "Low")</f>
        <v>High</v>
      </c>
    </row>
    <row r="30" spans="1:13">
      <c r="A30" s="5" t="s">
        <v>20</v>
      </c>
      <c r="B30" s="6" t="s">
        <v>21</v>
      </c>
      <c r="C30" s="6" t="s">
        <v>13</v>
      </c>
      <c r="D30" s="6" t="s">
        <v>14</v>
      </c>
      <c r="E30" s="6" t="s">
        <v>15</v>
      </c>
      <c r="F30" s="7">
        <v>30</v>
      </c>
      <c r="G30" s="8">
        <v>85000</v>
      </c>
      <c r="H30" s="7">
        <v>210000</v>
      </c>
      <c r="I30" s="9">
        <v>4.8</v>
      </c>
      <c r="J30" s="10">
        <v>44022</v>
      </c>
      <c r="K30" t="str">
        <f t="shared" si="0"/>
        <v>High</v>
      </c>
    </row>
    <row r="31" spans="1:13">
      <c r="A31" s="5" t="s">
        <v>22</v>
      </c>
      <c r="B31" s="6" t="s">
        <v>23</v>
      </c>
      <c r="C31" s="6" t="s">
        <v>24</v>
      </c>
      <c r="D31" s="6" t="s">
        <v>18</v>
      </c>
      <c r="E31" s="6" t="s">
        <v>19</v>
      </c>
      <c r="F31" s="7">
        <v>26</v>
      </c>
      <c r="G31" s="8">
        <v>48000</v>
      </c>
      <c r="H31" s="7">
        <v>95000</v>
      </c>
      <c r="I31" s="9">
        <v>3.8</v>
      </c>
      <c r="J31" s="10">
        <v>44969</v>
      </c>
      <c r="K31" t="str">
        <f t="shared" si="0"/>
        <v>Low</v>
      </c>
    </row>
    <row r="32" spans="1:13">
      <c r="A32" s="5" t="s">
        <v>25</v>
      </c>
      <c r="B32" s="6" t="s">
        <v>26</v>
      </c>
      <c r="C32" s="6" t="s">
        <v>24</v>
      </c>
      <c r="D32" s="6" t="s">
        <v>27</v>
      </c>
      <c r="E32" s="6" t="s">
        <v>15</v>
      </c>
      <c r="F32" s="7">
        <v>32</v>
      </c>
      <c r="G32" s="8">
        <v>62000</v>
      </c>
      <c r="H32" s="7">
        <v>115000</v>
      </c>
      <c r="I32" s="9">
        <v>4.0999999999999996</v>
      </c>
      <c r="J32" s="10">
        <v>43774</v>
      </c>
      <c r="K32" t="str">
        <f t="shared" si="0"/>
        <v>Low</v>
      </c>
    </row>
    <row r="33" spans="1:11">
      <c r="A33" s="5" t="s">
        <v>28</v>
      </c>
      <c r="B33" s="6" t="s">
        <v>29</v>
      </c>
      <c r="C33" s="6" t="s">
        <v>24</v>
      </c>
      <c r="D33" s="6" t="s">
        <v>14</v>
      </c>
      <c r="E33" s="6" t="s">
        <v>19</v>
      </c>
      <c r="F33" s="7">
        <v>29</v>
      </c>
      <c r="G33" s="8">
        <v>58000</v>
      </c>
      <c r="H33" s="7">
        <v>108000</v>
      </c>
      <c r="I33" s="9">
        <v>4</v>
      </c>
      <c r="J33" s="10">
        <v>44426</v>
      </c>
      <c r="K33" t="str">
        <f t="shared" si="0"/>
        <v>Low</v>
      </c>
    </row>
    <row r="34" spans="1:11">
      <c r="A34" s="5" t="s">
        <v>30</v>
      </c>
      <c r="B34" s="6" t="s">
        <v>31</v>
      </c>
      <c r="C34" s="6" t="s">
        <v>32</v>
      </c>
      <c r="D34" s="6" t="s">
        <v>33</v>
      </c>
      <c r="E34" s="6" t="s">
        <v>15</v>
      </c>
      <c r="F34" s="7">
        <v>35</v>
      </c>
      <c r="G34" s="8">
        <v>90000</v>
      </c>
      <c r="H34" s="7">
        <v>225000</v>
      </c>
      <c r="I34" s="9">
        <v>4.9000000000000004</v>
      </c>
      <c r="J34" s="10">
        <v>43276</v>
      </c>
      <c r="K34" t="str">
        <f t="shared" si="0"/>
        <v>High</v>
      </c>
    </row>
    <row r="35" spans="1:11">
      <c r="A35" s="5" t="s">
        <v>34</v>
      </c>
      <c r="B35" s="6" t="s">
        <v>35</v>
      </c>
      <c r="C35" s="6" t="s">
        <v>32</v>
      </c>
      <c r="D35" s="6" t="s">
        <v>33</v>
      </c>
      <c r="E35" s="6" t="s">
        <v>19</v>
      </c>
      <c r="F35" s="7">
        <v>27</v>
      </c>
      <c r="G35" s="8">
        <v>68000</v>
      </c>
      <c r="H35" s="7">
        <v>155000</v>
      </c>
      <c r="I35" s="9">
        <v>4.4000000000000004</v>
      </c>
      <c r="J35" s="10">
        <v>44818</v>
      </c>
      <c r="K35" t="str">
        <f t="shared" si="0"/>
        <v>High</v>
      </c>
    </row>
    <row r="36" spans="1:11">
      <c r="A36" s="5" t="s">
        <v>36</v>
      </c>
      <c r="B36" s="6" t="s">
        <v>37</v>
      </c>
      <c r="C36" s="6" t="s">
        <v>32</v>
      </c>
      <c r="D36" s="6" t="s">
        <v>14</v>
      </c>
      <c r="E36" s="6" t="s">
        <v>15</v>
      </c>
      <c r="F36" s="7">
        <v>31</v>
      </c>
      <c r="G36" s="8">
        <v>75000</v>
      </c>
      <c r="H36" s="7">
        <v>175000</v>
      </c>
      <c r="I36" s="9">
        <v>4.5</v>
      </c>
      <c r="J36" s="10">
        <v>43937</v>
      </c>
      <c r="K36" t="str">
        <f t="shared" si="0"/>
        <v>High</v>
      </c>
    </row>
    <row r="37" spans="1:11">
      <c r="A37" s="5" t="s">
        <v>38</v>
      </c>
      <c r="B37" s="6" t="s">
        <v>39</v>
      </c>
      <c r="C37" s="6" t="s">
        <v>8</v>
      </c>
      <c r="D37" s="6" t="s">
        <v>40</v>
      </c>
      <c r="E37" s="6" t="s">
        <v>19</v>
      </c>
      <c r="F37" s="7">
        <v>24</v>
      </c>
      <c r="G37" s="8">
        <v>42000</v>
      </c>
      <c r="H37" s="7">
        <v>85000</v>
      </c>
      <c r="I37" s="9">
        <v>3.5</v>
      </c>
      <c r="J37" s="10">
        <v>45068</v>
      </c>
      <c r="K37" t="str">
        <f t="shared" si="0"/>
        <v>Low</v>
      </c>
    </row>
    <row r="38" spans="1:11">
      <c r="A38" s="5" t="s">
        <v>41</v>
      </c>
      <c r="B38" s="6" t="s">
        <v>42</v>
      </c>
      <c r="C38" s="6" t="s">
        <v>8</v>
      </c>
      <c r="D38" s="6" t="s">
        <v>40</v>
      </c>
      <c r="E38" s="6" t="s">
        <v>15</v>
      </c>
      <c r="F38" s="7">
        <v>38</v>
      </c>
      <c r="G38" s="8">
        <v>65000</v>
      </c>
      <c r="H38" s="7">
        <v>145000</v>
      </c>
      <c r="I38" s="9">
        <v>4.3</v>
      </c>
      <c r="J38" s="10">
        <v>43019</v>
      </c>
      <c r="K38" t="str">
        <f t="shared" si="0"/>
        <v>High</v>
      </c>
    </row>
    <row r="39" spans="1:11">
      <c r="A39" s="5" t="s">
        <v>43</v>
      </c>
      <c r="B39" s="6" t="s">
        <v>44</v>
      </c>
      <c r="C39" s="6" t="s">
        <v>8</v>
      </c>
      <c r="D39" s="6" t="s">
        <v>27</v>
      </c>
      <c r="E39" s="6" t="s">
        <v>19</v>
      </c>
      <c r="F39" s="7">
        <v>29</v>
      </c>
      <c r="G39" s="8">
        <v>58000</v>
      </c>
      <c r="H39" s="7">
        <v>132000</v>
      </c>
      <c r="I39" s="9">
        <v>4.0999999999999996</v>
      </c>
      <c r="J39" s="10">
        <v>44531</v>
      </c>
      <c r="K39" t="str">
        <f t="shared" si="0"/>
        <v>Low</v>
      </c>
    </row>
    <row r="40" spans="1:11">
      <c r="A40" s="5" t="s">
        <v>45</v>
      </c>
      <c r="B40" s="6" t="s">
        <v>46</v>
      </c>
      <c r="C40" s="6" t="s">
        <v>47</v>
      </c>
      <c r="D40" s="6" t="s">
        <v>27</v>
      </c>
      <c r="E40" s="6" t="s">
        <v>15</v>
      </c>
      <c r="F40" s="7">
        <v>27</v>
      </c>
      <c r="G40" s="8">
        <v>60000</v>
      </c>
      <c r="H40" s="7">
        <v>120000</v>
      </c>
      <c r="I40" s="9">
        <v>3.9</v>
      </c>
      <c r="J40" s="10">
        <v>44670</v>
      </c>
      <c r="K40" t="str">
        <f t="shared" si="0"/>
        <v>Low</v>
      </c>
    </row>
    <row r="41" spans="1:11">
      <c r="A41" s="5" t="s">
        <v>48</v>
      </c>
      <c r="B41" s="6" t="s">
        <v>49</v>
      </c>
      <c r="C41" s="6" t="s">
        <v>47</v>
      </c>
      <c r="D41" s="6" t="s">
        <v>14</v>
      </c>
      <c r="E41" s="6" t="s">
        <v>19</v>
      </c>
      <c r="F41" s="7">
        <v>25</v>
      </c>
      <c r="G41" s="8">
        <v>52000</v>
      </c>
      <c r="H41" s="7">
        <v>98000</v>
      </c>
      <c r="I41" s="9">
        <v>3.7</v>
      </c>
      <c r="J41" s="10">
        <v>44936</v>
      </c>
      <c r="K41" t="str">
        <f t="shared" si="0"/>
        <v>Low</v>
      </c>
    </row>
    <row r="42" spans="1:11">
      <c r="A42" s="5" t="s">
        <v>50</v>
      </c>
      <c r="B42" s="6" t="s">
        <v>51</v>
      </c>
      <c r="C42" s="6" t="s">
        <v>47</v>
      </c>
      <c r="D42" s="6" t="s">
        <v>18</v>
      </c>
      <c r="E42" s="6" t="s">
        <v>15</v>
      </c>
      <c r="F42" s="7">
        <v>34</v>
      </c>
      <c r="G42" s="8">
        <v>70000</v>
      </c>
      <c r="H42" s="7">
        <v>165000</v>
      </c>
      <c r="I42" s="9">
        <v>4.5999999999999996</v>
      </c>
      <c r="J42" s="10">
        <v>43707</v>
      </c>
      <c r="K42" t="str">
        <f t="shared" si="0"/>
        <v>High</v>
      </c>
    </row>
    <row r="43" spans="1:11">
      <c r="A43" s="5" t="s">
        <v>52</v>
      </c>
      <c r="B43" s="6" t="s">
        <v>53</v>
      </c>
      <c r="C43" s="6" t="s">
        <v>54</v>
      </c>
      <c r="D43" s="6" t="s">
        <v>55</v>
      </c>
      <c r="E43" s="6" t="s">
        <v>15</v>
      </c>
      <c r="F43" s="7">
        <v>33</v>
      </c>
      <c r="G43" s="8">
        <v>58000</v>
      </c>
      <c r="H43" s="7">
        <v>110000</v>
      </c>
      <c r="I43" s="9">
        <v>4</v>
      </c>
      <c r="J43" s="10">
        <v>43876</v>
      </c>
      <c r="K43" t="str">
        <f t="shared" si="0"/>
        <v>Low</v>
      </c>
    </row>
    <row r="44" spans="1:11">
      <c r="A44" s="5" t="s">
        <v>56</v>
      </c>
      <c r="B44" s="6" t="s">
        <v>57</v>
      </c>
      <c r="C44" s="6" t="s">
        <v>54</v>
      </c>
      <c r="D44" s="6" t="s">
        <v>55</v>
      </c>
      <c r="E44" s="6" t="s">
        <v>19</v>
      </c>
      <c r="F44" s="7">
        <v>28</v>
      </c>
      <c r="G44" s="8">
        <v>64000</v>
      </c>
      <c r="H44" s="7">
        <v>138000</v>
      </c>
      <c r="I44" s="9">
        <v>4.2</v>
      </c>
      <c r="J44" s="10">
        <v>44367</v>
      </c>
      <c r="K44" t="str">
        <f t="shared" si="0"/>
        <v>Low</v>
      </c>
    </row>
    <row r="45" spans="1:11">
      <c r="A45" s="5" t="s">
        <v>58</v>
      </c>
      <c r="B45" s="6" t="s">
        <v>59</v>
      </c>
      <c r="C45" s="6" t="s">
        <v>54</v>
      </c>
      <c r="D45" s="6" t="s">
        <v>14</v>
      </c>
      <c r="E45" s="6" t="s">
        <v>15</v>
      </c>
      <c r="F45" s="7">
        <v>36</v>
      </c>
      <c r="G45" s="8">
        <v>78000</v>
      </c>
      <c r="H45" s="7">
        <v>190000</v>
      </c>
      <c r="I45" s="9">
        <v>4.7</v>
      </c>
      <c r="J45" s="10">
        <v>43439</v>
      </c>
      <c r="K45" t="str">
        <f t="shared" si="0"/>
        <v>High</v>
      </c>
    </row>
    <row r="46" spans="1:11">
      <c r="A46" s="5" t="s">
        <v>60</v>
      </c>
      <c r="B46" s="6" t="s">
        <v>61</v>
      </c>
      <c r="C46" s="6" t="s">
        <v>13</v>
      </c>
      <c r="D46" s="6" t="s">
        <v>18</v>
      </c>
      <c r="E46" s="6" t="s">
        <v>19</v>
      </c>
      <c r="F46" s="7">
        <v>27</v>
      </c>
      <c r="G46" s="8">
        <v>65000</v>
      </c>
      <c r="H46" s="7">
        <v>150000</v>
      </c>
      <c r="I46" s="9">
        <v>4.3</v>
      </c>
      <c r="J46" s="10">
        <v>44693</v>
      </c>
      <c r="K46" t="str">
        <f t="shared" si="0"/>
        <v>High</v>
      </c>
    </row>
    <row r="47" spans="1:11">
      <c r="A47" s="11" t="s">
        <v>62</v>
      </c>
      <c r="B47" s="12" t="s">
        <v>63</v>
      </c>
      <c r="C47" s="12" t="s">
        <v>8</v>
      </c>
      <c r="D47" s="12" t="s">
        <v>14</v>
      </c>
      <c r="E47" s="12" t="s">
        <v>15</v>
      </c>
      <c r="F47" s="13">
        <v>30</v>
      </c>
      <c r="G47" s="14">
        <v>57000</v>
      </c>
      <c r="H47" s="13">
        <v>128000</v>
      </c>
      <c r="I47" s="15">
        <v>3.9</v>
      </c>
      <c r="J47" s="16">
        <v>44395</v>
      </c>
      <c r="K47" t="str">
        <f t="shared" si="0"/>
        <v>Low</v>
      </c>
    </row>
  </sheetData>
  <mergeCells count="2">
    <mergeCell ref="A1:J1"/>
    <mergeCell ref="A26:J26"/>
  </mergeCells>
  <conditionalFormatting sqref="A2:F22 H2:H22 J2:J22">
    <cfRule type="cellIs" dxfId="2" priority="11" operator="equal">
      <formula>"Male"</formula>
    </cfRule>
  </conditionalFormatting>
  <conditionalFormatting sqref="A2:F22 H2:H22 J2:J22">
    <cfRule type="cellIs" dxfId="1" priority="10" operator="equal">
      <formula>"Female"</formula>
    </cfRule>
  </conditionalFormatting>
  <conditionalFormatting sqref="I2:I26 I48:I1048576">
    <cfRule type="top10" dxfId="0" priority="1" percent="1" bottom="1" rank="1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60FC4-F794-4CF7-8541-944BE1041562}">
  <dimension ref="A1:N20"/>
  <sheetViews>
    <sheetView workbookViewId="0">
      <selection activeCell="I17" sqref="I17"/>
    </sheetView>
  </sheetViews>
  <sheetFormatPr defaultRowHeight="15"/>
  <cols>
    <col min="1" max="1" width="12.85546875" bestFit="1" customWidth="1"/>
    <col min="2" max="2" width="16.42578125" bestFit="1" customWidth="1"/>
    <col min="3" max="3" width="12" bestFit="1" customWidth="1"/>
    <col min="4" max="4" width="11.140625" bestFit="1" customWidth="1"/>
    <col min="5" max="5" width="7.7109375" bestFit="1" customWidth="1"/>
    <col min="6" max="6" width="4.5703125" bestFit="1" customWidth="1"/>
    <col min="7" max="7" width="9.28515625" bestFit="1" customWidth="1"/>
    <col min="8" max="8" width="7.7109375" bestFit="1" customWidth="1"/>
    <col min="9" max="9" width="6.85546875" bestFit="1" customWidth="1"/>
    <col min="10" max="10" width="18.5703125" bestFit="1" customWidth="1"/>
    <col min="11" max="12" width="16.42578125" bestFit="1" customWidth="1"/>
    <col min="13" max="13" width="12" bestFit="1" customWidth="1"/>
    <col min="14" max="14" width="12.85546875" bestFit="1" customWidth="1"/>
  </cols>
  <sheetData>
    <row r="1" spans="1:14" ht="15.75">
      <c r="A1" s="43" t="s">
        <v>74</v>
      </c>
      <c r="B1" s="43"/>
      <c r="C1" s="43"/>
      <c r="D1" s="43"/>
      <c r="K1" s="43" t="s">
        <v>74</v>
      </c>
      <c r="L1" s="43"/>
      <c r="M1" s="43"/>
      <c r="N1" s="43"/>
    </row>
    <row r="2" spans="1:14">
      <c r="A2" s="36" t="s">
        <v>1</v>
      </c>
      <c r="B2" s="36" t="s">
        <v>2</v>
      </c>
      <c r="C2" s="36" t="s">
        <v>3</v>
      </c>
      <c r="D2" s="36" t="s">
        <v>7</v>
      </c>
      <c r="K2" s="36" t="s">
        <v>2</v>
      </c>
      <c r="L2" s="36" t="s">
        <v>3</v>
      </c>
      <c r="M2" s="36" t="s">
        <v>7</v>
      </c>
      <c r="N2" s="36" t="s">
        <v>1</v>
      </c>
    </row>
    <row r="3" spans="1:14">
      <c r="A3" t="s">
        <v>11</v>
      </c>
      <c r="B3" t="s">
        <v>12</v>
      </c>
      <c r="C3" t="s">
        <v>13</v>
      </c>
      <c r="D3">
        <v>55000</v>
      </c>
      <c r="K3" t="s">
        <v>12</v>
      </c>
      <c r="L3" t="s">
        <v>13</v>
      </c>
      <c r="M3">
        <v>55000</v>
      </c>
      <c r="N3" t="s">
        <v>11</v>
      </c>
    </row>
    <row r="4" spans="1:14">
      <c r="A4" t="s">
        <v>16</v>
      </c>
      <c r="B4" t="s">
        <v>17</v>
      </c>
      <c r="C4" t="s">
        <v>13</v>
      </c>
      <c r="D4">
        <v>72000</v>
      </c>
      <c r="K4" t="s">
        <v>17</v>
      </c>
      <c r="L4" t="s">
        <v>13</v>
      </c>
      <c r="M4">
        <v>72000</v>
      </c>
      <c r="N4" t="s">
        <v>16</v>
      </c>
    </row>
    <row r="5" spans="1:14">
      <c r="A5" t="s">
        <v>20</v>
      </c>
      <c r="B5" t="s">
        <v>21</v>
      </c>
      <c r="C5" t="s">
        <v>13</v>
      </c>
      <c r="D5">
        <v>85000</v>
      </c>
      <c r="K5" t="s">
        <v>21</v>
      </c>
      <c r="L5" t="s">
        <v>13</v>
      </c>
      <c r="M5">
        <v>85000</v>
      </c>
      <c r="N5" t="s">
        <v>20</v>
      </c>
    </row>
    <row r="6" spans="1:14">
      <c r="A6" t="s">
        <v>22</v>
      </c>
      <c r="B6" t="s">
        <v>23</v>
      </c>
      <c r="C6" t="s">
        <v>24</v>
      </c>
      <c r="D6">
        <v>48000</v>
      </c>
      <c r="K6" t="s">
        <v>23</v>
      </c>
      <c r="L6" t="s">
        <v>24</v>
      </c>
      <c r="M6">
        <v>48000</v>
      </c>
      <c r="N6" t="s">
        <v>22</v>
      </c>
    </row>
    <row r="7" spans="1:14">
      <c r="A7" t="s">
        <v>25</v>
      </c>
      <c r="B7" t="s">
        <v>26</v>
      </c>
      <c r="C7" t="s">
        <v>24</v>
      </c>
      <c r="D7">
        <v>62000</v>
      </c>
      <c r="K7" t="s">
        <v>26</v>
      </c>
      <c r="L7" t="s">
        <v>24</v>
      </c>
      <c r="M7">
        <v>62000</v>
      </c>
      <c r="N7" t="s">
        <v>25</v>
      </c>
    </row>
    <row r="8" spans="1:14">
      <c r="A8" t="s">
        <v>28</v>
      </c>
      <c r="B8" t="s">
        <v>29</v>
      </c>
      <c r="C8" t="s">
        <v>24</v>
      </c>
      <c r="D8">
        <v>58000</v>
      </c>
      <c r="K8" t="s">
        <v>29</v>
      </c>
      <c r="L8" t="s">
        <v>24</v>
      </c>
      <c r="M8">
        <v>58000</v>
      </c>
      <c r="N8" t="s">
        <v>28</v>
      </c>
    </row>
    <row r="9" spans="1:14">
      <c r="A9" t="s">
        <v>30</v>
      </c>
      <c r="B9" t="s">
        <v>31</v>
      </c>
      <c r="C9" t="s">
        <v>32</v>
      </c>
      <c r="D9">
        <v>90000</v>
      </c>
      <c r="K9" t="s">
        <v>31</v>
      </c>
      <c r="L9" t="s">
        <v>32</v>
      </c>
      <c r="M9">
        <v>90000</v>
      </c>
      <c r="N9" t="s">
        <v>30</v>
      </c>
    </row>
    <row r="10" spans="1:14">
      <c r="A10" t="s">
        <v>34</v>
      </c>
      <c r="B10" t="s">
        <v>35</v>
      </c>
      <c r="C10" t="s">
        <v>32</v>
      </c>
      <c r="D10">
        <v>68000</v>
      </c>
      <c r="K10" t="s">
        <v>35</v>
      </c>
      <c r="L10" t="s">
        <v>32</v>
      </c>
      <c r="M10">
        <v>68000</v>
      </c>
      <c r="N10" t="s">
        <v>34</v>
      </c>
    </row>
    <row r="11" spans="1:14">
      <c r="A11" t="s">
        <v>36</v>
      </c>
      <c r="B11" t="s">
        <v>37</v>
      </c>
      <c r="C11" t="s">
        <v>32</v>
      </c>
      <c r="D11">
        <v>75000</v>
      </c>
      <c r="K11" t="s">
        <v>37</v>
      </c>
      <c r="L11" t="s">
        <v>32</v>
      </c>
      <c r="M11">
        <v>75000</v>
      </c>
      <c r="N11" t="s">
        <v>36</v>
      </c>
    </row>
    <row r="12" spans="1:14">
      <c r="A12" t="s">
        <v>38</v>
      </c>
      <c r="B12" t="s">
        <v>39</v>
      </c>
      <c r="C12" t="s">
        <v>8</v>
      </c>
      <c r="D12">
        <v>42000</v>
      </c>
      <c r="K12" t="s">
        <v>39</v>
      </c>
      <c r="L12" t="s">
        <v>8</v>
      </c>
      <c r="M12">
        <v>42000</v>
      </c>
      <c r="N12" t="s">
        <v>38</v>
      </c>
    </row>
    <row r="14" spans="1:14">
      <c r="A14" s="44" t="s">
        <v>75</v>
      </c>
      <c r="B14" s="44"/>
      <c r="C14" s="44"/>
      <c r="D14" s="44"/>
      <c r="K14" s="44" t="s">
        <v>76</v>
      </c>
      <c r="L14" s="44"/>
      <c r="M14" s="44"/>
      <c r="N14" s="44"/>
    </row>
    <row r="15" spans="1:14">
      <c r="A15" s="36" t="s">
        <v>1</v>
      </c>
      <c r="B15" s="36" t="s">
        <v>2</v>
      </c>
      <c r="C15" s="36" t="s">
        <v>3</v>
      </c>
      <c r="D15" s="36" t="s">
        <v>7</v>
      </c>
      <c r="K15" s="36" t="s">
        <v>1</v>
      </c>
      <c r="L15" s="36" t="s">
        <v>2</v>
      </c>
      <c r="M15" s="36" t="s">
        <v>3</v>
      </c>
      <c r="N15" s="36" t="s">
        <v>7</v>
      </c>
    </row>
    <row r="16" spans="1:14">
      <c r="A16" t="s">
        <v>20</v>
      </c>
      <c r="B16" t="str">
        <f>VLOOKUP(A16,$A$3:$D$12,2,TRUE)</f>
        <v>Rahul Verma</v>
      </c>
      <c r="C16" t="str">
        <f>VLOOKUP(A16,$A$3:$D$12,3,TRUE)</f>
        <v>IT</v>
      </c>
      <c r="D16">
        <f>VLOOKUP(A16,$A$3:$D$12,4,TRUE)</f>
        <v>85000</v>
      </c>
      <c r="K16" t="s">
        <v>20</v>
      </c>
      <c r="L16" t="str" cm="1">
        <f t="array" ref="L16:N16">_xlfn.XLOOKUP(K16,$N$2:$N$12,$K$2:$M$12,,0)</f>
        <v>Rahul Verma</v>
      </c>
      <c r="M16" t="str">
        <v>IT</v>
      </c>
      <c r="N16">
        <v>85000</v>
      </c>
    </row>
    <row r="17" spans="1:14">
      <c r="A17" t="s">
        <v>34</v>
      </c>
      <c r="B17" t="str">
        <f t="shared" ref="B17:B20" si="0">VLOOKUP(A17,$A$3:$D$12,2,TRUE)</f>
        <v>Anjali Rao</v>
      </c>
      <c r="C17" t="str">
        <f t="shared" ref="C17:C20" si="1">VLOOKUP(A17,$A$3:$D$12,3,TRUE)</f>
        <v>Finance</v>
      </c>
      <c r="D17">
        <f t="shared" ref="D17:D20" si="2">VLOOKUP(A17,$A$3:$D$12,4,TRUE)</f>
        <v>68000</v>
      </c>
      <c r="K17" t="s">
        <v>34</v>
      </c>
      <c r="L17" t="str" cm="1">
        <f t="array" ref="L17:N17">_xlfn.XLOOKUP(K17,$N$2:$N$12,$K$2:$M$12,,0)</f>
        <v>Anjali Rao</v>
      </c>
      <c r="M17" t="str">
        <v>Finance</v>
      </c>
      <c r="N17">
        <v>68000</v>
      </c>
    </row>
    <row r="18" spans="1:14">
      <c r="A18" t="s">
        <v>38</v>
      </c>
      <c r="B18" t="str">
        <f t="shared" si="0"/>
        <v>Pooja Saini</v>
      </c>
      <c r="C18" t="str">
        <f t="shared" si="1"/>
        <v>Sales</v>
      </c>
      <c r="D18">
        <f t="shared" si="2"/>
        <v>42000</v>
      </c>
      <c r="K18" t="s">
        <v>38</v>
      </c>
      <c r="L18" t="str" cm="1">
        <f t="array" ref="L18:N18">_xlfn.XLOOKUP(K18,$N$2:$N$12,$K$2:$M$12,,0)</f>
        <v>Pooja Saini</v>
      </c>
      <c r="M18" t="str">
        <v>Sales</v>
      </c>
      <c r="N18">
        <v>42000</v>
      </c>
    </row>
    <row r="19" spans="1:14">
      <c r="A19" t="s">
        <v>11</v>
      </c>
      <c r="B19" t="str">
        <f t="shared" si="0"/>
        <v>Amit Sharma</v>
      </c>
      <c r="C19" t="str">
        <f t="shared" si="1"/>
        <v>IT</v>
      </c>
      <c r="D19">
        <f t="shared" si="2"/>
        <v>55000</v>
      </c>
      <c r="K19" t="s">
        <v>11</v>
      </c>
      <c r="L19" t="str" cm="1">
        <f t="array" ref="L19:N19">_xlfn.XLOOKUP(K19,$N$2:$N$12,$K$2:$M$12,,0)</f>
        <v>Amit Sharma</v>
      </c>
      <c r="M19" t="str">
        <v>IT</v>
      </c>
      <c r="N19">
        <v>55000</v>
      </c>
    </row>
    <row r="20" spans="1:14">
      <c r="A20" t="s">
        <v>25</v>
      </c>
      <c r="B20" t="str">
        <f t="shared" si="0"/>
        <v>Rohit Kumar</v>
      </c>
      <c r="C20" t="str">
        <f t="shared" si="1"/>
        <v>HR</v>
      </c>
      <c r="D20">
        <f t="shared" si="2"/>
        <v>62000</v>
      </c>
      <c r="K20" t="s">
        <v>25</v>
      </c>
      <c r="L20" t="str" cm="1">
        <f t="array" ref="L20:N20">_xlfn.XLOOKUP(K20,$N$2:$N$12,$K$2:$M$12,,0)</f>
        <v>Rohit Kumar</v>
      </c>
      <c r="M20" t="str">
        <v>HR</v>
      </c>
      <c r="N20">
        <v>62000</v>
      </c>
    </row>
  </sheetData>
  <mergeCells count="4">
    <mergeCell ref="A1:D1"/>
    <mergeCell ref="A14:D14"/>
    <mergeCell ref="K1:N1"/>
    <mergeCell ref="K14:N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E9C78-9D78-4F7D-BD1D-524BC08F640F}">
  <dimension ref="A1:J60"/>
  <sheetViews>
    <sheetView tabSelected="1" topLeftCell="A45" workbookViewId="0">
      <selection activeCell="J59" sqref="J59"/>
    </sheetView>
  </sheetViews>
  <sheetFormatPr defaultRowHeight="15"/>
  <cols>
    <col min="1" max="1" width="15.140625" customWidth="1"/>
    <col min="2" max="2" width="10.7109375" customWidth="1"/>
    <col min="3" max="3" width="13.5703125" customWidth="1"/>
    <col min="4" max="4" width="9.7109375" customWidth="1"/>
    <col min="5" max="5" width="10.140625" customWidth="1"/>
    <col min="6" max="6" width="13.28515625" customWidth="1"/>
    <col min="7" max="7" width="13.7109375" bestFit="1" customWidth="1"/>
    <col min="8" max="9" width="7.7109375" customWidth="1"/>
    <col min="10" max="10" width="18.5703125" bestFit="1" customWidth="1"/>
    <col min="11" max="21" width="7.7109375" bestFit="1" customWidth="1"/>
    <col min="22" max="23" width="11.7109375" bestFit="1" customWidth="1"/>
  </cols>
  <sheetData>
    <row r="1" spans="1:10" ht="18.75">
      <c r="A1" s="38" t="s">
        <v>77</v>
      </c>
      <c r="B1" s="39"/>
      <c r="C1" s="39"/>
      <c r="D1" s="39"/>
      <c r="E1" s="39"/>
      <c r="F1" s="39"/>
      <c r="G1" s="39"/>
      <c r="H1" s="39"/>
      <c r="I1" s="39"/>
      <c r="J1" s="39"/>
    </row>
    <row r="2" spans="1:10">
      <c r="A2" s="17" t="s">
        <v>1</v>
      </c>
      <c r="B2" s="18" t="s">
        <v>2</v>
      </c>
      <c r="C2" s="18" t="s">
        <v>3</v>
      </c>
      <c r="D2" s="18" t="s">
        <v>4</v>
      </c>
      <c r="E2" s="18" t="s">
        <v>5</v>
      </c>
      <c r="F2" s="19" t="s">
        <v>6</v>
      </c>
      <c r="G2" s="20" t="s">
        <v>7</v>
      </c>
      <c r="H2" s="19" t="s">
        <v>8</v>
      </c>
      <c r="I2" s="21" t="s">
        <v>9</v>
      </c>
      <c r="J2" s="22" t="s">
        <v>10</v>
      </c>
    </row>
    <row r="3" spans="1:10">
      <c r="A3" s="5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7">
        <v>25</v>
      </c>
      <c r="G3" s="8">
        <v>55000</v>
      </c>
      <c r="H3" s="7">
        <v>125000</v>
      </c>
      <c r="I3" s="9">
        <v>4.2</v>
      </c>
      <c r="J3" s="10">
        <v>44576</v>
      </c>
    </row>
    <row r="4" spans="1:10">
      <c r="A4" s="5" t="s">
        <v>16</v>
      </c>
      <c r="B4" s="6" t="s">
        <v>17</v>
      </c>
      <c r="C4" s="6" t="s">
        <v>13</v>
      </c>
      <c r="D4" s="6" t="s">
        <v>18</v>
      </c>
      <c r="E4" s="6" t="s">
        <v>19</v>
      </c>
      <c r="F4" s="7">
        <v>28</v>
      </c>
      <c r="G4" s="8">
        <v>72000</v>
      </c>
      <c r="H4" s="7">
        <v>185000</v>
      </c>
      <c r="I4" s="9">
        <v>4.7</v>
      </c>
      <c r="J4" s="10">
        <v>44275</v>
      </c>
    </row>
    <row r="5" spans="1:10">
      <c r="A5" s="5" t="s">
        <v>20</v>
      </c>
      <c r="B5" s="6" t="s">
        <v>21</v>
      </c>
      <c r="C5" s="6" t="s">
        <v>13</v>
      </c>
      <c r="D5" s="6" t="s">
        <v>14</v>
      </c>
      <c r="E5" s="6" t="s">
        <v>15</v>
      </c>
      <c r="F5" s="7">
        <v>30</v>
      </c>
      <c r="G5" s="8">
        <v>85000</v>
      </c>
      <c r="H5" s="7">
        <v>210000</v>
      </c>
      <c r="I5" s="9">
        <v>4.8</v>
      </c>
      <c r="J5" s="10">
        <v>44022</v>
      </c>
    </row>
    <row r="6" spans="1:10">
      <c r="A6" s="5" t="s">
        <v>22</v>
      </c>
      <c r="B6" s="6" t="s">
        <v>23</v>
      </c>
      <c r="C6" s="6" t="s">
        <v>24</v>
      </c>
      <c r="D6" s="6" t="s">
        <v>18</v>
      </c>
      <c r="E6" s="6" t="s">
        <v>19</v>
      </c>
      <c r="F6" s="7">
        <v>26</v>
      </c>
      <c r="G6" s="8">
        <v>48000</v>
      </c>
      <c r="H6" s="7">
        <v>95000</v>
      </c>
      <c r="I6" s="9">
        <v>3.8</v>
      </c>
      <c r="J6" s="10">
        <v>44969</v>
      </c>
    </row>
    <row r="7" spans="1:10">
      <c r="A7" s="5" t="s">
        <v>25</v>
      </c>
      <c r="B7" s="6" t="s">
        <v>26</v>
      </c>
      <c r="C7" s="6" t="s">
        <v>24</v>
      </c>
      <c r="D7" s="6" t="s">
        <v>27</v>
      </c>
      <c r="E7" s="6" t="s">
        <v>15</v>
      </c>
      <c r="F7" s="7">
        <v>32</v>
      </c>
      <c r="G7" s="8">
        <v>62000</v>
      </c>
      <c r="H7" s="7">
        <v>115000</v>
      </c>
      <c r="I7" s="9">
        <v>4.0999999999999996</v>
      </c>
      <c r="J7" s="10">
        <v>43774</v>
      </c>
    </row>
    <row r="8" spans="1:10">
      <c r="A8" s="5" t="s">
        <v>28</v>
      </c>
      <c r="B8" s="6" t="s">
        <v>29</v>
      </c>
      <c r="C8" s="6" t="s">
        <v>24</v>
      </c>
      <c r="D8" s="6" t="s">
        <v>14</v>
      </c>
      <c r="E8" s="6" t="s">
        <v>19</v>
      </c>
      <c r="F8" s="7">
        <v>29</v>
      </c>
      <c r="G8" s="8">
        <v>58000</v>
      </c>
      <c r="H8" s="7">
        <v>108000</v>
      </c>
      <c r="I8" s="9">
        <v>4</v>
      </c>
      <c r="J8" s="10">
        <v>44426</v>
      </c>
    </row>
    <row r="9" spans="1:10">
      <c r="A9" s="5" t="s">
        <v>30</v>
      </c>
      <c r="B9" s="6" t="s">
        <v>31</v>
      </c>
      <c r="C9" s="6" t="s">
        <v>32</v>
      </c>
      <c r="D9" s="6" t="s">
        <v>33</v>
      </c>
      <c r="E9" s="6" t="s">
        <v>15</v>
      </c>
      <c r="F9" s="7">
        <v>35</v>
      </c>
      <c r="G9" s="8">
        <v>90000</v>
      </c>
      <c r="H9" s="7">
        <v>225000</v>
      </c>
      <c r="I9" s="9">
        <v>4.9000000000000004</v>
      </c>
      <c r="J9" s="10">
        <v>43276</v>
      </c>
    </row>
    <row r="10" spans="1:10">
      <c r="A10" s="5" t="s">
        <v>34</v>
      </c>
      <c r="B10" s="6" t="s">
        <v>35</v>
      </c>
      <c r="C10" s="6" t="s">
        <v>32</v>
      </c>
      <c r="D10" s="6" t="s">
        <v>33</v>
      </c>
      <c r="E10" s="6" t="s">
        <v>19</v>
      </c>
      <c r="F10" s="7">
        <v>27</v>
      </c>
      <c r="G10" s="8">
        <v>68000</v>
      </c>
      <c r="H10" s="7">
        <v>155000</v>
      </c>
      <c r="I10" s="9">
        <v>4.4000000000000004</v>
      </c>
      <c r="J10" s="10">
        <v>44818</v>
      </c>
    </row>
    <row r="11" spans="1:10">
      <c r="A11" s="5" t="s">
        <v>36</v>
      </c>
      <c r="B11" s="6" t="s">
        <v>37</v>
      </c>
      <c r="C11" s="6" t="s">
        <v>32</v>
      </c>
      <c r="D11" s="6" t="s">
        <v>14</v>
      </c>
      <c r="E11" s="6" t="s">
        <v>15</v>
      </c>
      <c r="F11" s="7">
        <v>31</v>
      </c>
      <c r="G11" s="8">
        <v>75000</v>
      </c>
      <c r="H11" s="7">
        <v>175000</v>
      </c>
      <c r="I11" s="9">
        <v>4.5</v>
      </c>
      <c r="J11" s="10">
        <v>43937</v>
      </c>
    </row>
    <row r="12" spans="1:10">
      <c r="A12" s="5" t="s">
        <v>38</v>
      </c>
      <c r="B12" s="6" t="s">
        <v>39</v>
      </c>
      <c r="C12" s="6" t="s">
        <v>8</v>
      </c>
      <c r="D12" s="6" t="s">
        <v>40</v>
      </c>
      <c r="E12" s="6" t="s">
        <v>19</v>
      </c>
      <c r="F12" s="7">
        <v>24</v>
      </c>
      <c r="G12" s="8">
        <v>42000</v>
      </c>
      <c r="H12" s="7">
        <v>85000</v>
      </c>
      <c r="I12" s="9">
        <v>3.5</v>
      </c>
      <c r="J12" s="10">
        <v>45068</v>
      </c>
    </row>
    <row r="13" spans="1:10">
      <c r="A13" s="5" t="s">
        <v>41</v>
      </c>
      <c r="B13" s="6" t="s">
        <v>42</v>
      </c>
      <c r="C13" s="6" t="s">
        <v>8</v>
      </c>
      <c r="D13" s="6" t="s">
        <v>40</v>
      </c>
      <c r="E13" s="6" t="s">
        <v>15</v>
      </c>
      <c r="F13" s="7">
        <v>38</v>
      </c>
      <c r="G13" s="8">
        <v>65000</v>
      </c>
      <c r="H13" s="7">
        <v>145000</v>
      </c>
      <c r="I13" s="9">
        <v>4.3</v>
      </c>
      <c r="J13" s="10">
        <v>43019</v>
      </c>
    </row>
    <row r="14" spans="1:10">
      <c r="A14" s="5" t="s">
        <v>43</v>
      </c>
      <c r="B14" s="6" t="s">
        <v>44</v>
      </c>
      <c r="C14" s="6" t="s">
        <v>8</v>
      </c>
      <c r="D14" s="6" t="s">
        <v>27</v>
      </c>
      <c r="E14" s="6" t="s">
        <v>19</v>
      </c>
      <c r="F14" s="7">
        <v>29</v>
      </c>
      <c r="G14" s="8">
        <v>58000</v>
      </c>
      <c r="H14" s="7">
        <v>132000</v>
      </c>
      <c r="I14" s="9">
        <v>4.0999999999999996</v>
      </c>
      <c r="J14" s="10">
        <v>44531</v>
      </c>
    </row>
    <row r="15" spans="1:10">
      <c r="A15" s="5" t="s">
        <v>45</v>
      </c>
      <c r="B15" s="6" t="s">
        <v>46</v>
      </c>
      <c r="C15" s="6" t="s">
        <v>47</v>
      </c>
      <c r="D15" s="6" t="s">
        <v>27</v>
      </c>
      <c r="E15" s="6" t="s">
        <v>15</v>
      </c>
      <c r="F15" s="7">
        <v>27</v>
      </c>
      <c r="G15" s="8">
        <v>60000</v>
      </c>
      <c r="H15" s="7">
        <v>120000</v>
      </c>
      <c r="I15" s="9">
        <v>3.9</v>
      </c>
      <c r="J15" s="10">
        <v>44670</v>
      </c>
    </row>
    <row r="16" spans="1:10">
      <c r="A16" s="5" t="s">
        <v>48</v>
      </c>
      <c r="B16" s="6" t="s">
        <v>49</v>
      </c>
      <c r="C16" s="6" t="s">
        <v>47</v>
      </c>
      <c r="D16" s="6" t="s">
        <v>14</v>
      </c>
      <c r="E16" s="6" t="s">
        <v>19</v>
      </c>
      <c r="F16" s="7">
        <v>25</v>
      </c>
      <c r="G16" s="8">
        <v>52000</v>
      </c>
      <c r="H16" s="7">
        <v>98000</v>
      </c>
      <c r="I16" s="9">
        <v>3.7</v>
      </c>
      <c r="J16" s="10">
        <v>44936</v>
      </c>
    </row>
    <row r="17" spans="1:10">
      <c r="A17" s="5" t="s">
        <v>50</v>
      </c>
      <c r="B17" s="6" t="s">
        <v>51</v>
      </c>
      <c r="C17" s="6" t="s">
        <v>47</v>
      </c>
      <c r="D17" s="6" t="s">
        <v>18</v>
      </c>
      <c r="E17" s="6" t="s">
        <v>15</v>
      </c>
      <c r="F17" s="7">
        <v>34</v>
      </c>
      <c r="G17" s="8">
        <v>70000</v>
      </c>
      <c r="H17" s="7">
        <v>165000</v>
      </c>
      <c r="I17" s="9">
        <v>4.5999999999999996</v>
      </c>
      <c r="J17" s="10">
        <v>43707</v>
      </c>
    </row>
    <row r="18" spans="1:10">
      <c r="A18" s="5" t="s">
        <v>52</v>
      </c>
      <c r="B18" s="6" t="s">
        <v>53</v>
      </c>
      <c r="C18" s="6" t="s">
        <v>54</v>
      </c>
      <c r="D18" s="6" t="s">
        <v>55</v>
      </c>
      <c r="E18" s="6" t="s">
        <v>15</v>
      </c>
      <c r="F18" s="7">
        <v>33</v>
      </c>
      <c r="G18" s="8">
        <v>58000</v>
      </c>
      <c r="H18" s="7">
        <v>110000</v>
      </c>
      <c r="I18" s="9">
        <v>4</v>
      </c>
      <c r="J18" s="10">
        <v>43876</v>
      </c>
    </row>
    <row r="19" spans="1:10">
      <c r="A19" s="5" t="s">
        <v>56</v>
      </c>
      <c r="B19" s="6" t="s">
        <v>57</v>
      </c>
      <c r="C19" s="6" t="s">
        <v>54</v>
      </c>
      <c r="D19" s="6" t="s">
        <v>55</v>
      </c>
      <c r="E19" s="6" t="s">
        <v>19</v>
      </c>
      <c r="F19" s="7">
        <v>28</v>
      </c>
      <c r="G19" s="8">
        <v>64000</v>
      </c>
      <c r="H19" s="7">
        <v>138000</v>
      </c>
      <c r="I19" s="9">
        <v>4.2</v>
      </c>
      <c r="J19" s="10">
        <v>44367</v>
      </c>
    </row>
    <row r="20" spans="1:10">
      <c r="A20" s="5" t="s">
        <v>58</v>
      </c>
      <c r="B20" s="6" t="s">
        <v>59</v>
      </c>
      <c r="C20" s="6" t="s">
        <v>54</v>
      </c>
      <c r="D20" s="6" t="s">
        <v>14</v>
      </c>
      <c r="E20" s="6" t="s">
        <v>15</v>
      </c>
      <c r="F20" s="7">
        <v>36</v>
      </c>
      <c r="G20" s="8">
        <v>78000</v>
      </c>
      <c r="H20" s="7">
        <v>190000</v>
      </c>
      <c r="I20" s="9">
        <v>4.7</v>
      </c>
      <c r="J20" s="10">
        <v>43439</v>
      </c>
    </row>
    <row r="21" spans="1:10">
      <c r="A21" s="5" t="s">
        <v>60</v>
      </c>
      <c r="B21" s="6" t="s">
        <v>61</v>
      </c>
      <c r="C21" s="6" t="s">
        <v>13</v>
      </c>
      <c r="D21" s="6" t="s">
        <v>18</v>
      </c>
      <c r="E21" s="6" t="s">
        <v>19</v>
      </c>
      <c r="F21" s="7">
        <v>27</v>
      </c>
      <c r="G21" s="8">
        <v>65000</v>
      </c>
      <c r="H21" s="7">
        <v>150000</v>
      </c>
      <c r="I21" s="9">
        <v>4.3</v>
      </c>
      <c r="J21" s="10">
        <v>44693</v>
      </c>
    </row>
    <row r="22" spans="1:10">
      <c r="A22" s="11" t="s">
        <v>62</v>
      </c>
      <c r="B22" s="12" t="s">
        <v>63</v>
      </c>
      <c r="C22" s="12" t="s">
        <v>8</v>
      </c>
      <c r="D22" s="12" t="s">
        <v>14</v>
      </c>
      <c r="E22" s="12" t="s">
        <v>15</v>
      </c>
      <c r="F22" s="13">
        <v>30</v>
      </c>
      <c r="G22" s="14">
        <v>57000</v>
      </c>
      <c r="H22" s="13">
        <v>128000</v>
      </c>
      <c r="I22" s="15">
        <v>3.9</v>
      </c>
      <c r="J22" s="16">
        <v>44395</v>
      </c>
    </row>
    <row r="26" spans="1:10">
      <c r="A26" s="40" t="s">
        <v>78</v>
      </c>
      <c r="B26" s="40"/>
    </row>
    <row r="27" spans="1:10">
      <c r="A27" s="37" t="s">
        <v>4</v>
      </c>
      <c r="B27" t="s">
        <v>79</v>
      </c>
    </row>
    <row r="28" spans="1:10">
      <c r="A28" t="s">
        <v>40</v>
      </c>
      <c r="B28" s="3">
        <v>230000</v>
      </c>
    </row>
    <row r="29" spans="1:10">
      <c r="A29" t="s">
        <v>14</v>
      </c>
      <c r="B29" s="3">
        <v>1034000</v>
      </c>
    </row>
    <row r="30" spans="1:10">
      <c r="A30" t="s">
        <v>18</v>
      </c>
      <c r="B30" s="3">
        <v>595000</v>
      </c>
    </row>
    <row r="31" spans="1:10">
      <c r="A31" t="s">
        <v>27</v>
      </c>
      <c r="B31" s="3">
        <v>367000</v>
      </c>
    </row>
    <row r="32" spans="1:10">
      <c r="A32" t="s">
        <v>33</v>
      </c>
      <c r="B32" s="3">
        <v>380000</v>
      </c>
    </row>
    <row r="33" spans="1:3">
      <c r="A33" t="s">
        <v>55</v>
      </c>
      <c r="B33" s="3">
        <v>248000</v>
      </c>
    </row>
    <row r="34" spans="1:3">
      <c r="A34" t="s">
        <v>80</v>
      </c>
      <c r="B34" s="3">
        <v>2854000</v>
      </c>
    </row>
    <row r="45" spans="1:3">
      <c r="A45" s="40" t="s">
        <v>81</v>
      </c>
      <c r="B45" s="40"/>
      <c r="C45" s="40"/>
    </row>
    <row r="46" spans="1:3">
      <c r="A46" s="37" t="s">
        <v>2</v>
      </c>
      <c r="B46" t="s">
        <v>79</v>
      </c>
      <c r="C46" t="s">
        <v>82</v>
      </c>
    </row>
    <row r="47" spans="1:3">
      <c r="A47" t="s">
        <v>21</v>
      </c>
      <c r="B47" s="3">
        <v>210000</v>
      </c>
      <c r="C47" s="2">
        <v>4.8</v>
      </c>
    </row>
    <row r="48" spans="1:3">
      <c r="A48" t="s">
        <v>31</v>
      </c>
      <c r="B48" s="3">
        <v>225000</v>
      </c>
      <c r="C48" s="2">
        <v>4.9000000000000004</v>
      </c>
    </row>
    <row r="49" spans="1:7">
      <c r="A49" t="s">
        <v>80</v>
      </c>
      <c r="B49" s="3">
        <v>435000</v>
      </c>
      <c r="C49" s="2">
        <v>9.6999999999999993</v>
      </c>
    </row>
    <row r="52" spans="1:7">
      <c r="A52" s="41" t="s">
        <v>83</v>
      </c>
      <c r="B52" s="41"/>
      <c r="C52" s="41"/>
      <c r="D52" s="41"/>
      <c r="E52" s="41"/>
      <c r="F52" s="41"/>
      <c r="G52" s="41"/>
    </row>
    <row r="53" spans="1:7">
      <c r="A53" s="37" t="s">
        <v>3</v>
      </c>
      <c r="B53" t="s">
        <v>84</v>
      </c>
      <c r="C53" t="s">
        <v>85</v>
      </c>
      <c r="D53" t="s">
        <v>86</v>
      </c>
      <c r="E53" t="s">
        <v>87</v>
      </c>
      <c r="F53" t="s">
        <v>88</v>
      </c>
      <c r="G53" t="s">
        <v>89</v>
      </c>
    </row>
    <row r="54" spans="1:7">
      <c r="A54" t="s">
        <v>32</v>
      </c>
      <c r="B54" s="3">
        <v>555000</v>
      </c>
      <c r="C54" s="3">
        <v>185000</v>
      </c>
      <c r="D54" s="3">
        <v>155000</v>
      </c>
      <c r="E54" s="3">
        <v>225000</v>
      </c>
      <c r="F54" s="2">
        <v>4.4000000000000004</v>
      </c>
      <c r="G54" s="2">
        <v>4.9000000000000004</v>
      </c>
    </row>
    <row r="55" spans="1:7">
      <c r="A55" t="s">
        <v>24</v>
      </c>
      <c r="B55" s="3">
        <v>318000</v>
      </c>
      <c r="C55" s="3">
        <v>106000</v>
      </c>
      <c r="D55" s="3">
        <v>95000</v>
      </c>
      <c r="E55" s="3">
        <v>115000</v>
      </c>
      <c r="F55" s="2">
        <v>3.8</v>
      </c>
      <c r="G55" s="2">
        <v>4.0999999999999996</v>
      </c>
    </row>
    <row r="56" spans="1:7">
      <c r="A56" t="s">
        <v>13</v>
      </c>
      <c r="B56" s="3">
        <v>670000</v>
      </c>
      <c r="C56" s="3">
        <v>167500</v>
      </c>
      <c r="D56" s="3">
        <v>125000</v>
      </c>
      <c r="E56" s="3">
        <v>210000</v>
      </c>
      <c r="F56" s="2">
        <v>4.2</v>
      </c>
      <c r="G56" s="2">
        <v>4.8</v>
      </c>
    </row>
    <row r="57" spans="1:7">
      <c r="A57" t="s">
        <v>47</v>
      </c>
      <c r="B57" s="3">
        <v>383000</v>
      </c>
      <c r="C57" s="3">
        <v>127666.66666666667</v>
      </c>
      <c r="D57" s="3">
        <v>98000</v>
      </c>
      <c r="E57" s="3">
        <v>165000</v>
      </c>
      <c r="F57" s="2">
        <v>3.7</v>
      </c>
      <c r="G57" s="2">
        <v>4.5999999999999996</v>
      </c>
    </row>
    <row r="58" spans="1:7">
      <c r="A58" t="s">
        <v>54</v>
      </c>
      <c r="B58" s="3">
        <v>438000</v>
      </c>
      <c r="C58" s="3">
        <v>146000</v>
      </c>
      <c r="D58" s="3">
        <v>110000</v>
      </c>
      <c r="E58" s="3">
        <v>190000</v>
      </c>
      <c r="F58" s="2">
        <v>4</v>
      </c>
      <c r="G58" s="2">
        <v>4.7</v>
      </c>
    </row>
    <row r="59" spans="1:7">
      <c r="A59" t="s">
        <v>8</v>
      </c>
      <c r="B59" s="3">
        <v>490000</v>
      </c>
      <c r="C59" s="3">
        <v>122500</v>
      </c>
      <c r="D59" s="3">
        <v>85000</v>
      </c>
      <c r="E59" s="3">
        <v>145000</v>
      </c>
      <c r="F59" s="2">
        <v>3.5</v>
      </c>
      <c r="G59" s="2">
        <v>4.3</v>
      </c>
    </row>
    <row r="60" spans="1:7">
      <c r="A60" t="s">
        <v>80</v>
      </c>
      <c r="B60" s="3">
        <v>2854000</v>
      </c>
      <c r="C60" s="3">
        <v>142700</v>
      </c>
      <c r="D60" s="3">
        <v>85000</v>
      </c>
      <c r="E60" s="3">
        <v>225000</v>
      </c>
      <c r="F60" s="2">
        <v>3.5</v>
      </c>
      <c r="G60" s="2">
        <v>4.9000000000000004</v>
      </c>
    </row>
  </sheetData>
  <mergeCells count="4">
    <mergeCell ref="A1:J1"/>
    <mergeCell ref="A26:B26"/>
    <mergeCell ref="A45:C45"/>
    <mergeCell ref="A52:G52"/>
  </mergeCell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2026-08-21T07:34:18Z</dcterms:created>
  <dcterms:modified xsi:type="dcterms:W3CDTF">2026-08-21T11:45:53Z</dcterms:modified>
  <cp:category/>
  <cp:contentStatus/>
</cp:coreProperties>
</file>